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ar\OneDrive\Escritorio\RESPALDO\REPUESTOS\Ferreteria\"/>
    </mc:Choice>
  </mc:AlternateContent>
  <xr:revisionPtr revIDLastSave="0" documentId="13_ncr:1_{B98F6B7B-AD37-4EE3-8DA8-FBE27F2C829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VARIOS" sheetId="1" r:id="rId1"/>
    <sheet name="PERNERIA" sheetId="2" r:id="rId2"/>
  </sheets>
  <definedNames>
    <definedName name="_xlnm._FilterDatabase" localSheetId="1" hidden="1">PERNERIA!$A$1:$Q$1048504</definedName>
    <definedName name="_xlnm._FilterDatabase" localSheetId="0" hidden="1">VARIOS!$A:$G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7" i="1" l="1"/>
  <c r="G76" i="1"/>
  <c r="G75" i="1"/>
  <c r="G74" i="1"/>
  <c r="Q114" i="2"/>
  <c r="Q113" i="2"/>
  <c r="Q116" i="2"/>
  <c r="Q130" i="2"/>
  <c r="Q129" i="2"/>
  <c r="J129" i="2"/>
  <c r="I129" i="2"/>
  <c r="Q128" i="2"/>
  <c r="Q127" i="2"/>
  <c r="Q126" i="2"/>
  <c r="Q125" i="2"/>
  <c r="Q124" i="2"/>
  <c r="Q123" i="2"/>
  <c r="Q122" i="2"/>
  <c r="Q121" i="2"/>
  <c r="Q120" i="2"/>
  <c r="Q119" i="2"/>
  <c r="N119" i="2"/>
  <c r="Q118" i="2"/>
  <c r="Q117" i="2"/>
  <c r="Q115" i="2"/>
  <c r="Q112" i="2"/>
  <c r="Q36" i="2"/>
  <c r="Q109" i="2"/>
  <c r="Q111" i="2"/>
  <c r="Q34" i="2"/>
  <c r="Q110" i="2"/>
  <c r="Q104" i="2"/>
  <c r="Q105" i="2"/>
  <c r="Q108" i="2"/>
  <c r="Q107" i="2"/>
  <c r="Q106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J63" i="2"/>
  <c r="I63" i="2"/>
  <c r="H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N48" i="2"/>
  <c r="Q47" i="2"/>
  <c r="Q46" i="2"/>
  <c r="Q45" i="2"/>
  <c r="Q44" i="2"/>
  <c r="Q43" i="2"/>
  <c r="Q42" i="2"/>
  <c r="Q41" i="2"/>
  <c r="Q40" i="2"/>
  <c r="Q39" i="2"/>
  <c r="Q38" i="2"/>
  <c r="Q37" i="2"/>
  <c r="Q35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G95" i="1"/>
  <c r="G94" i="1"/>
  <c r="G93" i="1"/>
  <c r="G92" i="1"/>
  <c r="G91" i="1"/>
  <c r="G90" i="1"/>
  <c r="G89" i="1"/>
  <c r="G88" i="1"/>
  <c r="G85" i="1"/>
  <c r="G86" i="1"/>
  <c r="G84" i="1"/>
  <c r="G83" i="1"/>
  <c r="G81" i="1"/>
  <c r="G78" i="1"/>
  <c r="G79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87" i="1"/>
  <c r="G52" i="1"/>
  <c r="G82" i="1"/>
  <c r="G80" i="1"/>
  <c r="G51" i="1"/>
  <c r="G37" i="1"/>
  <c r="G50" i="1"/>
  <c r="G49" i="1"/>
  <c r="G48" i="1"/>
  <c r="G47" i="1"/>
  <c r="G46" i="1"/>
  <c r="G45" i="1"/>
  <c r="G44" i="1"/>
  <c r="G43" i="1"/>
  <c r="G42" i="1"/>
  <c r="G41" i="1"/>
  <c r="G39" i="1"/>
  <c r="G40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19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<sst xmlns="http://schemas.openxmlformats.org/spreadsheetml/2006/main" count="248" uniqueCount="236">
  <si>
    <t>CÓDIGO RELIPER</t>
  </si>
  <si>
    <t>UBICACIÓN</t>
  </si>
  <si>
    <t>DESCRIPCION  GENERAL</t>
  </si>
  <si>
    <t>STOCK CRITICO</t>
  </si>
  <si>
    <t>REPOSICIÓN</t>
  </si>
  <si>
    <t xml:space="preserve">ABRAZADERA ACERO 2"                     </t>
  </si>
  <si>
    <t xml:space="preserve">AMARRACABLES BLANCAS LARGO 100MM        </t>
  </si>
  <si>
    <t xml:space="preserve">AMARRACABLES BLANCAS LARGO 150MM        </t>
  </si>
  <si>
    <t xml:space="preserve">AMARRACABLES BLANCAS LARGO 200MM      </t>
  </si>
  <si>
    <t xml:space="preserve">AMARRACABLES BLANCAS LARGO 550MM        </t>
  </si>
  <si>
    <t>AMARRACABLES NEGRO LARGO 760MM</t>
  </si>
  <si>
    <t xml:space="preserve">BALDE PLASTICO 20 LTS                   </t>
  </si>
  <si>
    <t>BROCHA PLANA 1"</t>
  </si>
  <si>
    <t>BROCHA PLANA 2 1/2</t>
  </si>
  <si>
    <t>BROCHA PLANA 2"</t>
  </si>
  <si>
    <t xml:space="preserve">BROCHA PLANA 3"                         </t>
  </si>
  <si>
    <t>BROCHA PLANA 4"</t>
  </si>
  <si>
    <t xml:space="preserve">CANDADO CHICO P30          </t>
  </si>
  <si>
    <t>CANDADO CILINDRO 40MM</t>
  </si>
  <si>
    <t xml:space="preserve">CANDADO GRANDE 60 </t>
  </si>
  <si>
    <t>CANDADO ODIS 20MM</t>
  </si>
  <si>
    <t>CINTA AISLANTE AMARILLA</t>
  </si>
  <si>
    <t>CINTA AISLANTE AZUL</t>
  </si>
  <si>
    <t>CINTA AISLANTE BLANCA</t>
  </si>
  <si>
    <t>CINTA AISLANTE NEGRA SUPER 33+</t>
  </si>
  <si>
    <t>CINTA AISLANTE ROJA</t>
  </si>
  <si>
    <t>CINTA AISLANTE VERDE</t>
  </si>
  <si>
    <t>CINTA MULTIUSO GRIS 3M</t>
  </si>
  <si>
    <t>CINTA TEFLON 1 / 2</t>
  </si>
  <si>
    <t xml:space="preserve">CODO GALVANIZADO 1" </t>
  </si>
  <si>
    <t xml:space="preserve">CODO GALVANIZADO 1/2 </t>
  </si>
  <si>
    <t>CODO GALVANIZADO 3/4</t>
  </si>
  <si>
    <t>CODO GALVANIZADO 90° 2 SOLDABLE</t>
  </si>
  <si>
    <t>COPLA REDUCCION GALVANIZADO 1.1/2 X 1</t>
  </si>
  <si>
    <t>COPLA REDUCCION GALVANIZADO 1/2X3/8</t>
  </si>
  <si>
    <t>COPLA REDUCCION GALVANIZADO 1.1/2X2</t>
  </si>
  <si>
    <t>DISCO CORTE 4 1/2</t>
  </si>
  <si>
    <t>DISCO CORTE 7”</t>
  </si>
  <si>
    <t xml:space="preserve">DISCO DE DESBASTE 7" DIAMETRO EXTERIOR  </t>
  </si>
  <si>
    <t>DISCO DESBASTE 4 1/2</t>
  </si>
  <si>
    <t xml:space="preserve">ESCOBILLA ACERO MANGO SOLDADOR          </t>
  </si>
  <si>
    <t>ESPATULA 1-1/2" 30MM</t>
  </si>
  <si>
    <t>ESPATULA 50MM</t>
  </si>
  <si>
    <t>ESPATULA 80 MM</t>
  </si>
  <si>
    <t>FITTING CODO 90 INOX 1/2 OD X 1/2</t>
  </si>
  <si>
    <t>FITTING CODO MACHO 90° INOX 3/8</t>
  </si>
  <si>
    <t>COPLA REDUCCION GALVANIZADA 1.1/2 X 2</t>
  </si>
  <si>
    <t>FITTING TAPON 1/2</t>
  </si>
  <si>
    <t>TAPA GORRO GALVANIZADO 2</t>
  </si>
  <si>
    <t>TEE GALVANIZADO 2</t>
  </si>
  <si>
    <t>FITTING TEE AC GALV 3/4</t>
  </si>
  <si>
    <t>UNION AMERICANA GALVANIZADO 1 / 2</t>
  </si>
  <si>
    <t>GRILLETE ACERO 1" G209</t>
  </si>
  <si>
    <t>GRILLETE ACERO 3/4" G209</t>
  </si>
  <si>
    <t xml:space="preserve">HEBILLA DE 3/8" (CAJA X 100 CU)         </t>
  </si>
  <si>
    <t xml:space="preserve">HUINCHA TEFLON 3/4" X 12 MT PTFE        </t>
  </si>
  <si>
    <t xml:space="preserve">JUEGO ORING PULGADA </t>
  </si>
  <si>
    <t>LIJA AGUA GRANO 100</t>
  </si>
  <si>
    <t>LIJA AGUA GRANO 150</t>
  </si>
  <si>
    <t>LIJA AGUA GRANO 360</t>
  </si>
  <si>
    <t>LIJA AGUA GRANO 80</t>
  </si>
  <si>
    <t>LIJA METAL GRANO 100</t>
  </si>
  <si>
    <t>LIJA METAL GRANO 120</t>
  </si>
  <si>
    <t>LIJA METAL GRANO 180</t>
  </si>
  <si>
    <t>LIJA METAL GRANO 220</t>
  </si>
  <si>
    <t>LLAVE BOLA 1 / 2</t>
  </si>
  <si>
    <t>LLAVE BOLA 3 / 4</t>
  </si>
  <si>
    <t>LLAVE DE BOLA 1"</t>
  </si>
  <si>
    <t>NIPLE GALVANIZADO 1</t>
  </si>
  <si>
    <t>ORCA SEGURIDAD 60 CMS.</t>
  </si>
  <si>
    <t xml:space="preserve">ORCA SEGURIDAD 80 CM                    </t>
  </si>
  <si>
    <t>PINZA LOCKOUT 1</t>
  </si>
  <si>
    <t>RODILLO LANA CHIPORRO 18CM TIGRE</t>
  </si>
  <si>
    <t>TAPA GORRO GALVANIZADO 1.1/2</t>
  </si>
  <si>
    <t xml:space="preserve">TAPA GORRO GALVANIZADO 1 </t>
  </si>
  <si>
    <t>TAPA GORRO GALVANIZADO 3 / 4</t>
  </si>
  <si>
    <t>TOALLA HUMADA DUPLEX</t>
  </si>
  <si>
    <t>TUERCA STORZ HI 2"</t>
  </si>
  <si>
    <t>UNION AMERICANA  GALVANIZADO 1.1/2</t>
  </si>
  <si>
    <t>UNION AMERICANA  GALVANIZADO 1</t>
  </si>
  <si>
    <t>UNION AMERICANA GALVANIZADO 2</t>
  </si>
  <si>
    <t>UNION AMERICANA GALVANIZADO 3/4</t>
  </si>
  <si>
    <t>VALVULA BOLA INOX 2"</t>
  </si>
  <si>
    <t xml:space="preserve">VIDRIO MASCARA SOLDAR BLANCO </t>
  </si>
  <si>
    <t xml:space="preserve">VIDRIO MASCARA SOLDAR GRADO 10          </t>
  </si>
  <si>
    <t>VIDRIO MASCARA SOLDAR GRADO 11</t>
  </si>
  <si>
    <t xml:space="preserve">VIDRIO MASCARA SOLDAR GRADO 12          </t>
  </si>
  <si>
    <t>ZUNCHO 3/8" (CAJA X 30,5MT)</t>
  </si>
  <si>
    <t>50MT</t>
  </si>
  <si>
    <t>UBICACION</t>
  </si>
  <si>
    <t>DESCRIPCIÓN  GENERAL</t>
  </si>
  <si>
    <t>ESPARRAGO A-193 B7 1 X 1000</t>
  </si>
  <si>
    <t>ESPARRAGO A-193 B7 1/2 X 1000</t>
  </si>
  <si>
    <t>ESPARRAGO A-193 B7 3/4 X 1000</t>
  </si>
  <si>
    <t>ESPARRAGO A-193 B7 5/8 X 1000</t>
  </si>
  <si>
    <t>ESPARRAGO A-193 B7 7/8 X 1000</t>
  </si>
  <si>
    <t>GOLILLA PLANA  CORRIENTE 1/2</t>
  </si>
  <si>
    <t>GOLILLA PLANA CORRIENTE 1</t>
  </si>
  <si>
    <t xml:space="preserve">GOLILLA PLANA CORRIENTE 1.1/4           </t>
  </si>
  <si>
    <t>GOLILLA PLANA CORRIENTE 1/4</t>
  </si>
  <si>
    <t>GOLILLA PLANA CORRIENTE 3/4</t>
  </si>
  <si>
    <t>GOLILLA PLANA CORRIENTE 3/8</t>
  </si>
  <si>
    <t>GOLILLA PLANA CORRIENTE 5/8</t>
  </si>
  <si>
    <t>GOLILLA PLANA CORRIENTE 7/8</t>
  </si>
  <si>
    <t xml:space="preserve">GOLILLA PLANA CORRIENTE M16  </t>
  </si>
  <si>
    <t>GOLILLA PLANA CORRIENTE M20</t>
  </si>
  <si>
    <t>GOLILLA PLANA CORRIENTE M24</t>
  </si>
  <si>
    <t xml:space="preserve">GOLILLA PLANA F-416 5/8     </t>
  </si>
  <si>
    <t>GOLILLA PLANA F-436 1</t>
  </si>
  <si>
    <t xml:space="preserve">GOLILLA PLANA F-436 1/2        </t>
  </si>
  <si>
    <t xml:space="preserve">GOLILLA PLANA F-436 3/4 </t>
  </si>
  <si>
    <t>GOLILLA PLANA F-436 3/8</t>
  </si>
  <si>
    <t xml:space="preserve">GOLILLA PLANA F-436 7/8   </t>
  </si>
  <si>
    <t xml:space="preserve">GOLILLA PRESION 1 </t>
  </si>
  <si>
    <t>GOLILLA PRESION 1.1/4</t>
  </si>
  <si>
    <t>GOLILLA PRESION 1/2</t>
  </si>
  <si>
    <t xml:space="preserve">GOLILLA PRESION 1/4           </t>
  </si>
  <si>
    <t>GOLILLA PRESION 3/4</t>
  </si>
  <si>
    <t>GOLILLA PRESION 3/8</t>
  </si>
  <si>
    <t xml:space="preserve">GOLILLA PRESION 5/8              </t>
  </si>
  <si>
    <t>GOLILLA PRESION 7/8</t>
  </si>
  <si>
    <t>PERNO HEXAGONAL G°10.9 M20 X 100</t>
  </si>
  <si>
    <t>PERNO HEXAGONAL G°10.9 M24 X 180</t>
  </si>
  <si>
    <t xml:space="preserve">PERNO HEXAGONAL G°5 1 X 2   </t>
  </si>
  <si>
    <t xml:space="preserve">PERNO HEXAGONAL G°5 1 X 2.1/2 </t>
  </si>
  <si>
    <t xml:space="preserve">PERNO HEXAGONAL G°5 1 X 3 </t>
  </si>
  <si>
    <t>PERNO HEXAGONAL G°5 1 X 4</t>
  </si>
  <si>
    <t>PERNO HEXAGONAL G°5 1 X 5</t>
  </si>
  <si>
    <t>PERNO HEXAGONAL G°5 1 X 6</t>
  </si>
  <si>
    <t xml:space="preserve">PERNO HEXAGONAL G°5 1 X 8 </t>
  </si>
  <si>
    <t>PERNO HEXAGONAL G°5 1.1/4 X 5</t>
  </si>
  <si>
    <t>PERNO HEXAGONAL G°5 1.1/4 X 6</t>
  </si>
  <si>
    <t xml:space="preserve">PERNO HEXAGONAL G°5 1/2 x 1.1/2 </t>
  </si>
  <si>
    <t>PERNO HEXAGONAL G°5 1/2 X 2-1/2</t>
  </si>
  <si>
    <t xml:space="preserve">PERNO HEXAGONAL G°5 1/2 x 3 </t>
  </si>
  <si>
    <t>PERNO HEXAGONAL G°5 1/2 x 3.1/2</t>
  </si>
  <si>
    <t xml:space="preserve">PERNO HEXAGONAL G°5 1/2 x 5 </t>
  </si>
  <si>
    <t>PERNO HEXAGONAL G°5 1/2X2</t>
  </si>
  <si>
    <t xml:space="preserve">PERNO HEXAGONAL G°5 1/2x4 </t>
  </si>
  <si>
    <t>PERNO HEXAGONAL G°5 1/4 X 1</t>
  </si>
  <si>
    <t>PERNO HEXAGONAL G°5 1/4 X 1.1/2</t>
  </si>
  <si>
    <t xml:space="preserve">PERNO HEXAGONAL G°5 1/4 X 1.1/4 </t>
  </si>
  <si>
    <t>PERNO HEXAGONAL G°5 1/4 X 2</t>
  </si>
  <si>
    <t xml:space="preserve">PERNO HEXAGONAL G°5 1/4 X 2.1/2  </t>
  </si>
  <si>
    <t>PERNO HEXAGONAL G°5 3/4 X 1.1/2</t>
  </si>
  <si>
    <t>PERNO HEXAGONAL G°5 3/4 X 2</t>
  </si>
  <si>
    <t>PERNO HEXAGONAL G°5 3/4 X 2.1/2</t>
  </si>
  <si>
    <t>PERNO HEXAGONAL G°5 3/4 X 3</t>
  </si>
  <si>
    <t xml:space="preserve">PERNO HEXAGONAL G°5 3/4 x 4 </t>
  </si>
  <si>
    <t xml:space="preserve">PERNO HEXAGONAL G°5 3/4 x 4 1/2 </t>
  </si>
  <si>
    <t xml:space="preserve">PERNO HEXAGONAL G°5 3/4 x 6 </t>
  </si>
  <si>
    <t>PERNO HEXAGONAL G°5 3/8 X 1</t>
  </si>
  <si>
    <t>PERNO HEXAGONAL G°5 3/8 X 1.1/2</t>
  </si>
  <si>
    <t>PERNO HEXAGONAL G°5 3/8 X 2</t>
  </si>
  <si>
    <t xml:space="preserve">PERNO HEXAGONAL G°5 3/8 X 2.1/2 </t>
  </si>
  <si>
    <t xml:space="preserve">PERNO HEXAGONAL G°5 3/8 X 3 </t>
  </si>
  <si>
    <t>PERNO HEXAGONAL G°5 5/16 X 1</t>
  </si>
  <si>
    <t>PERNO HEXAGONAL G°5 5/8 x 1</t>
  </si>
  <si>
    <t xml:space="preserve">PERNO HEXAGONAL G°5 5/8 x 2 </t>
  </si>
  <si>
    <t>PERNO HEXAGONAL G°5 5/8 X 2.1/2</t>
  </si>
  <si>
    <t xml:space="preserve">PERNO HEXAGONAL G°5 5/8 X 3 </t>
  </si>
  <si>
    <t>PERNO HEXAGONAL G°5 5/8 X 3.1/2</t>
  </si>
  <si>
    <t xml:space="preserve">PERNO HEXAGONAL G°5 5/8 X 4 </t>
  </si>
  <si>
    <t xml:space="preserve">PERNO HEXAGONAL G°5 5/8 X 4.1/2 </t>
  </si>
  <si>
    <t>PERNO HEXAGONAL G°5 5/8 X 5</t>
  </si>
  <si>
    <t>PERNO HEXAGONAL G°5 5/8 X 6</t>
  </si>
  <si>
    <t xml:space="preserve">PERNO HEXAGONAL G°5 5/8 X 7 </t>
  </si>
  <si>
    <t>PERNO HEXAGONAL G°5 7/8 X 1</t>
  </si>
  <si>
    <t xml:space="preserve">PERNO HEXAGONAL G°5 7/8 x 4 </t>
  </si>
  <si>
    <t>PERNO HEXAGONAL G°5 7/8 X 5.1/2</t>
  </si>
  <si>
    <t>PERNO HEXAGONAL G°5 7/8 X 6</t>
  </si>
  <si>
    <t>PERNO HEXAGONAL G°5 7/8X3.1/2</t>
  </si>
  <si>
    <t>PERNO HEXAGONAL G°5 7/8X4.1/2</t>
  </si>
  <si>
    <t>PERNO HEXAGONAL G°8  7/8 X 4.1/2</t>
  </si>
  <si>
    <t xml:space="preserve">PERNO HEXAGONAL G°8 1/2 X 4.1/2 </t>
  </si>
  <si>
    <t>PERNO HEXAGONAL G°8 3/4 x 3.1/2</t>
  </si>
  <si>
    <t xml:space="preserve">PERNO HEXAGONAL G°8 3/4 x 5 </t>
  </si>
  <si>
    <t>PERNO HEXAGONAL G°8 3/4 X 5.1/2</t>
  </si>
  <si>
    <t xml:space="preserve">PERNO HEXAGONAL G°8 3/4 X 7 </t>
  </si>
  <si>
    <t>PERNO HEXAGONAL G°8 3/8X3.1/2</t>
  </si>
  <si>
    <t>PERNO HEXAGONAL G°8 5/16 X 3</t>
  </si>
  <si>
    <t xml:space="preserve">PERNO HEXAGONAL G°8 5/8 x 1.1/2  </t>
  </si>
  <si>
    <t>PERNO HEXAGONAL G°8 7/8 X 2</t>
  </si>
  <si>
    <t xml:space="preserve">PERNO HEXAGONAL G°8 7/8 x 2.1/2 </t>
  </si>
  <si>
    <t xml:space="preserve">PERNO HEXAGONAL G°8 7/8 x 3 </t>
  </si>
  <si>
    <t>PERNO HEXAGONAL G°8 7/8 X 5</t>
  </si>
  <si>
    <t>PERNO HEXAGONAL G°8.8 M16 X 100</t>
  </si>
  <si>
    <t>PERNO HEXAGONAL G°8.8 M16 X 50</t>
  </si>
  <si>
    <t>PERNO HEXAGONAL G°8.8 M16 X 70</t>
  </si>
  <si>
    <t>PERNO HEXAGONAL G°8.8 M16 X 80</t>
  </si>
  <si>
    <t>PERNO HEXAGONAL G°8.8 M20 X 50</t>
  </si>
  <si>
    <t>PERNO HEXAGONAL G°8.8 M20 X 80</t>
  </si>
  <si>
    <t>PERNO HEXAGONAL G°8.8 M20 X 90</t>
  </si>
  <si>
    <t>PERNO HEXAGONAL G°8.8 M20 X 110</t>
  </si>
  <si>
    <t>PERNO HEXAGONAL G°8.8 M20 X 100</t>
  </si>
  <si>
    <t>PERNO HEXAGONAL G°8.8 M24 X 140</t>
  </si>
  <si>
    <t>PERNO HEXAGONAL G°10.9 M24 X 130</t>
  </si>
  <si>
    <t>PERNO HEXAGONAL G°8.8 M24 X 180</t>
  </si>
  <si>
    <t>PERNO HEXAGONAL G°8.8 M24 X 100</t>
  </si>
  <si>
    <t>PERNO HEXAGONAL G°10.9 M24 X 90</t>
  </si>
  <si>
    <t>PERNO HEXAGONAL G°8.8 M24 X 60</t>
  </si>
  <si>
    <t>TUERCA HEXAGONAL 8.8 M16</t>
  </si>
  <si>
    <t>TUERCA HEXAGONAL G°5 1</t>
  </si>
  <si>
    <t>TUERCA HEXAGONAL G°5 1.1/4</t>
  </si>
  <si>
    <t xml:space="preserve">TUERCA HEXAGONAL G°5 1/2 </t>
  </si>
  <si>
    <t>TUERCA HEXAGONAL G°5 1/4"</t>
  </si>
  <si>
    <t xml:space="preserve">TUERCA HEXAGONAL G°5 3/4 </t>
  </si>
  <si>
    <t>TUERCA HEXAGONAL G°5 3/8</t>
  </si>
  <si>
    <t xml:space="preserve">TUERCA HEXAGONAL G°5 5/8 </t>
  </si>
  <si>
    <t>TUERCA HEXAGONAL G°5 7 / 8</t>
  </si>
  <si>
    <t>TUERCA HEXAGONAL G°8 1/2</t>
  </si>
  <si>
    <t xml:space="preserve">TUERCA HEXAGONAL G°8 3/4 </t>
  </si>
  <si>
    <t xml:space="preserve">TUERCA HEXAGONAL G°8 5/8      </t>
  </si>
  <si>
    <t>TUERCA HEXAGONAL G°8.8 M16</t>
  </si>
  <si>
    <t>TUERCA HEXAGONAL G°8.8 M20</t>
  </si>
  <si>
    <t xml:space="preserve">TUERCA HEXAGONAL G°8.8 M24 </t>
  </si>
  <si>
    <t xml:space="preserve">TUERCA HEXAGONAL G°10.9 M24 </t>
  </si>
  <si>
    <t>PERNO HEXAGONAL G°8.8 M24 X 75</t>
  </si>
  <si>
    <t>PERNO HEXAGONAL G°8.8 M24 X 80</t>
  </si>
  <si>
    <t>P-12937</t>
  </si>
  <si>
    <t>P-1371</t>
  </si>
  <si>
    <t>P-1374</t>
  </si>
  <si>
    <t>P-1375</t>
  </si>
  <si>
    <t>P-1430</t>
  </si>
  <si>
    <t>P-1434</t>
  </si>
  <si>
    <t>OBSERVACIONES</t>
  </si>
  <si>
    <t>P-1435</t>
  </si>
  <si>
    <t>P-1436</t>
  </si>
  <si>
    <t>P-144101</t>
  </si>
  <si>
    <t>CANDADO BLOQUEO ROJO</t>
  </si>
  <si>
    <t xml:space="preserve">CANDADO BLOQUEO VERDE </t>
  </si>
  <si>
    <t xml:space="preserve">CANDADO BLOQUEO AZUL </t>
  </si>
  <si>
    <t>SELLADOR HIDRAULICO CAVE II</t>
  </si>
  <si>
    <t>PERNO HEXAGONAL G°8,8 M20 X 110</t>
  </si>
  <si>
    <t>STOCK 19-05-2026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</si>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</sst>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ptos Narrow"/>
      <family val="2"/>
      <charset val="1"/>
    </font>
    <font>
      <sz val="10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sz val="1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3" tint="0.59968871120334488"/>
        <bgColor rgb="FF99CCFF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39997558519241921"/>
        <bgColor rgb="FF99CCFF"/>
      </patternFill>
    </fill>
    <fill>
      <patternFill patternType="solid">
        <fgColor rgb="FFFFFF00"/>
        <b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99CCFF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1" applyProtection="0"/>
    <xf numFmtId="0" fontId="3" fillId="2" borderId="1" applyProtection="0"/>
  </cellStyleXfs>
  <cellXfs count="49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2" xfId="1" applyFont="1" applyFill="1" applyBorder="1" applyAlignment="1" applyProtection="1">
      <alignment horizontal="center" vertical="center"/>
    </xf>
    <xf numFmtId="0" fontId="2" fillId="4" borderId="2" xfId="1" applyFont="1" applyFill="1" applyBorder="1" applyAlignment="1" applyProtection="1">
      <alignment horizontal="left" vertical="center"/>
    </xf>
    <xf numFmtId="0" fontId="4" fillId="4" borderId="2" xfId="1" applyFont="1" applyFill="1" applyBorder="1" applyAlignment="1" applyProtection="1">
      <alignment horizontal="center" vertical="center"/>
    </xf>
    <xf numFmtId="0" fontId="5" fillId="3" borderId="2" xfId="1" applyFont="1" applyFill="1" applyBorder="1" applyAlignment="1" applyProtection="1">
      <alignment horizontal="center" vertical="center"/>
    </xf>
    <xf numFmtId="0" fontId="5" fillId="3" borderId="2" xfId="1" applyFont="1" applyFill="1" applyBorder="1" applyAlignment="1" applyProtection="1">
      <alignment horizontal="left" vertical="center"/>
    </xf>
    <xf numFmtId="0" fontId="6" fillId="5" borderId="2" xfId="1" applyFont="1" applyFill="1" applyBorder="1" applyAlignment="1" applyProtection="1">
      <alignment horizontal="center" vertical="center"/>
    </xf>
    <xf numFmtId="0" fontId="5" fillId="3" borderId="2" xfId="1" applyFont="1" applyFill="1" applyBorder="1" applyAlignment="1" applyProtection="1">
      <alignment horizontal="center"/>
    </xf>
    <xf numFmtId="0" fontId="5" fillId="3" borderId="2" xfId="1" applyFont="1" applyFill="1" applyBorder="1" applyAlignment="1" applyProtection="1">
      <alignment horizontal="left"/>
    </xf>
    <xf numFmtId="0" fontId="1" fillId="3" borderId="2" xfId="1" applyFont="1" applyFill="1" applyBorder="1" applyAlignment="1" applyProtection="1">
      <alignment horizontal="center" vertical="center"/>
    </xf>
    <xf numFmtId="0" fontId="1" fillId="3" borderId="2" xfId="1" applyFont="1" applyFill="1" applyBorder="1" applyAlignment="1" applyProtection="1">
      <alignment horizontal="left" vertical="center"/>
    </xf>
    <xf numFmtId="1" fontId="5" fillId="3" borderId="2" xfId="1" applyNumberFormat="1" applyFont="1" applyFill="1" applyBorder="1" applyAlignment="1" applyProtection="1">
      <alignment horizontal="center" vertical="center"/>
    </xf>
    <xf numFmtId="0" fontId="5" fillId="0" borderId="2" xfId="1" applyFont="1" applyFill="1" applyBorder="1" applyAlignment="1" applyProtection="1">
      <alignment horizontal="center" vertical="center"/>
    </xf>
    <xf numFmtId="0" fontId="5" fillId="0" borderId="2" xfId="1" applyFont="1" applyFill="1" applyBorder="1" applyAlignment="1" applyProtection="1">
      <alignment horizontal="left" vertical="center"/>
    </xf>
    <xf numFmtId="0" fontId="5" fillId="3" borderId="1" xfId="2" applyFont="1" applyFill="1" applyProtection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3" borderId="0" xfId="0" applyFont="1" applyFill="1"/>
    <xf numFmtId="0" fontId="7" fillId="3" borderId="3" xfId="1" applyFont="1" applyFill="1" applyBorder="1" applyAlignment="1" applyProtection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3" borderId="3" xfId="1" applyFont="1" applyFill="1" applyBorder="1" applyAlignment="1" applyProtection="1">
      <alignment vertical="center"/>
    </xf>
    <xf numFmtId="0" fontId="9" fillId="3" borderId="3" xfId="1" applyFont="1" applyFill="1" applyBorder="1" applyAlignment="1" applyProtection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3" xfId="1" applyFont="1" applyFill="1" applyBorder="1" applyAlignment="1" applyProtection="1">
      <alignment vertical="center" wrapText="1"/>
    </xf>
    <xf numFmtId="0" fontId="11" fillId="0" borderId="0" xfId="0" applyFont="1"/>
    <xf numFmtId="0" fontId="7" fillId="6" borderId="3" xfId="1" applyFont="1" applyFill="1" applyBorder="1" applyAlignment="1" applyProtection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7" fillId="6" borderId="3" xfId="1" applyFont="1" applyFill="1" applyBorder="1" applyAlignment="1" applyProtection="1">
      <alignment vertical="center"/>
    </xf>
    <xf numFmtId="0" fontId="7" fillId="6" borderId="3" xfId="0" applyFont="1" applyFill="1" applyBorder="1" applyAlignment="1">
      <alignment vertical="center"/>
    </xf>
    <xf numFmtId="0" fontId="8" fillId="5" borderId="6" xfId="1" applyFont="1" applyFill="1" applyBorder="1" applyAlignment="1" applyProtection="1">
      <alignment horizontal="center" vertical="center"/>
    </xf>
    <xf numFmtId="0" fontId="8" fillId="7" borderId="6" xfId="1" applyFont="1" applyFill="1" applyBorder="1" applyAlignment="1" applyProtection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4" borderId="4" xfId="1" applyFont="1" applyFill="1" applyBorder="1" applyAlignment="1" applyProtection="1">
      <alignment horizontal="center"/>
    </xf>
    <xf numFmtId="14" fontId="7" fillId="4" borderId="4" xfId="1" applyNumberFormat="1" applyFont="1" applyFill="1" applyBorder="1" applyAlignment="1" applyProtection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3" borderId="3" xfId="0" applyFill="1" applyBorder="1"/>
    <xf numFmtId="0" fontId="7" fillId="3" borderId="0" xfId="1" applyFont="1" applyFill="1" applyBorder="1" applyAlignment="1" applyProtection="1">
      <alignment vertical="center"/>
    </xf>
    <xf numFmtId="0" fontId="5" fillId="0" borderId="2" xfId="1" applyFont="1" applyFill="1" applyBorder="1" applyAlignment="1" applyProtection="1">
      <alignment horizontal="center"/>
    </xf>
    <xf numFmtId="0" fontId="5" fillId="0" borderId="2" xfId="1" applyFont="1" applyFill="1" applyBorder="1" applyAlignment="1" applyProtection="1">
      <alignment horizontal="left"/>
    </xf>
    <xf numFmtId="0" fontId="1" fillId="0" borderId="0" xfId="0" applyFont="1"/>
    <xf numFmtId="0" fontId="11" fillId="0" borderId="2" xfId="1" applyFont="1" applyFill="1" applyBorder="1" applyAlignment="1" applyProtection="1">
      <alignment horizontal="center" vertical="center"/>
    </xf>
    <xf numFmtId="0" fontId="11" fillId="0" borderId="2" xfId="1" applyFont="1" applyFill="1" applyBorder="1" applyAlignment="1" applyProtection="1">
      <alignment horizontal="left" vertical="center"/>
    </xf>
    <xf numFmtId="0" fontId="6" fillId="9" borderId="2" xfId="1" applyFont="1" applyFill="1" applyBorder="1" applyAlignment="1" applyProtection="1">
      <alignment horizontal="center" vertical="center"/>
    </xf>
    <xf numFmtId="0" fontId="6" fillId="10" borderId="2" xfId="1" applyFont="1" applyFill="1" applyBorder="1" applyAlignment="1" applyProtection="1">
      <alignment horizontal="center" vertical="center"/>
    </xf>
  </cellXfs>
  <cellStyles count="3">
    <cellStyle name="Excel Built-in Output" xfId="2" xr:uid="{00000000-0005-0000-0000-000008000000}"/>
    <cellStyle name="Excel Built-in Output 1" xfId="1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64"/>
  <sheetViews>
    <sheetView tabSelected="1" zoomScaleNormal="100" workbookViewId="0">
      <selection activeCell="D15" sqref="D15"/>
    </sheetView>
  </sheetViews>
  <sheetFormatPr baseColWidth="10" defaultColWidth="11.42578125" defaultRowHeight="12.75" x14ac:dyDescent="0.2"/>
  <cols>
    <col min="1" max="3" width="15.85546875" style="1" customWidth="1"/>
    <col min="4" max="4" width="45" style="1" customWidth="1"/>
    <col min="5" max="5" width="15.85546875" style="2" customWidth="1"/>
    <col min="6" max="7" width="15.85546875" style="1" customWidth="1"/>
    <col min="8" max="1006" width="11.42578125" style="1"/>
    <col min="1007" max="1007" width="10.140625" style="1" customWidth="1"/>
    <col min="1008" max="16364" width="11.42578125" style="1"/>
    <col min="16365" max="16384" width="10.140625" style="1" customWidth="1"/>
  </cols>
  <sheetData>
    <row r="1" spans="1:7" x14ac:dyDescent="0.2">
      <c r="A1" s="3" t="s">
        <v>235</v>
      </c>
      <c r="B1" s="3" t="s">
        <v>0</v>
      </c>
      <c r="C1" s="3" t="s">
        <v>1</v>
      </c>
      <c r="D1" s="4" t="s">
        <v>2</v>
      </c>
      <c r="E1" s="3" t="s">
        <v>234</v>
      </c>
      <c r="F1" s="5" t="s">
        <v>3</v>
      </c>
      <c r="G1" s="5" t="s">
        <v>4</v>
      </c>
    </row>
    <row r="2" spans="1:7" x14ac:dyDescent="0.2">
      <c r="A2" s="6">
        <v>126979</v>
      </c>
      <c r="B2" s="6"/>
      <c r="C2" s="6">
        <v>70702</v>
      </c>
      <c r="D2" s="7" t="s">
        <v>5</v>
      </c>
      <c r="E2" s="6">
        <v>0</v>
      </c>
      <c r="F2" s="6">
        <v>4</v>
      </c>
      <c r="G2" s="8">
        <f t="shared" ref="G2:G8" si="0">+E2-F2</f>
        <v>-4</v>
      </c>
    </row>
    <row r="3" spans="1:7" x14ac:dyDescent="0.2">
      <c r="A3" s="6">
        <v>551317</v>
      </c>
      <c r="B3" s="6"/>
      <c r="C3" s="6">
        <v>71002</v>
      </c>
      <c r="D3" s="7" t="s">
        <v>6</v>
      </c>
      <c r="E3" s="6">
        <v>100</v>
      </c>
      <c r="F3" s="6">
        <v>100</v>
      </c>
      <c r="G3" s="8">
        <f t="shared" si="0"/>
        <v>0</v>
      </c>
    </row>
    <row r="4" spans="1:7" x14ac:dyDescent="0.2">
      <c r="A4" s="6">
        <v>41707</v>
      </c>
      <c r="B4" s="6"/>
      <c r="C4" s="6">
        <v>71002</v>
      </c>
      <c r="D4" s="7" t="s">
        <v>7</v>
      </c>
      <c r="E4" s="6">
        <v>100</v>
      </c>
      <c r="F4" s="6">
        <v>100</v>
      </c>
      <c r="G4" s="8">
        <f t="shared" si="0"/>
        <v>0</v>
      </c>
    </row>
    <row r="5" spans="1:7" x14ac:dyDescent="0.2">
      <c r="A5" s="6">
        <v>551325</v>
      </c>
      <c r="B5" s="6"/>
      <c r="C5" s="6">
        <v>71002</v>
      </c>
      <c r="D5" s="7" t="s">
        <v>8</v>
      </c>
      <c r="E5" s="6">
        <v>100</v>
      </c>
      <c r="F5" s="6">
        <v>100</v>
      </c>
      <c r="G5" s="8">
        <f t="shared" si="0"/>
        <v>0</v>
      </c>
    </row>
    <row r="6" spans="1:7" x14ac:dyDescent="0.2">
      <c r="A6" s="6">
        <v>551366</v>
      </c>
      <c r="B6" s="6"/>
      <c r="C6" s="6">
        <v>71102</v>
      </c>
      <c r="D6" s="7" t="s">
        <v>9</v>
      </c>
      <c r="E6" s="6">
        <v>100</v>
      </c>
      <c r="F6" s="6">
        <v>100</v>
      </c>
      <c r="G6" s="8">
        <f t="shared" si="0"/>
        <v>0</v>
      </c>
    </row>
    <row r="7" spans="1:7" x14ac:dyDescent="0.2">
      <c r="A7" s="6">
        <v>551374</v>
      </c>
      <c r="B7" s="6"/>
      <c r="C7" s="6">
        <v>71102</v>
      </c>
      <c r="D7" s="7" t="s">
        <v>10</v>
      </c>
      <c r="E7" s="6">
        <v>100</v>
      </c>
      <c r="F7" s="6">
        <v>100</v>
      </c>
      <c r="G7" s="8">
        <f t="shared" si="0"/>
        <v>0</v>
      </c>
    </row>
    <row r="8" spans="1:7" s="44" customFormat="1" x14ac:dyDescent="0.2">
      <c r="A8" s="42">
        <v>596833</v>
      </c>
      <c r="B8" s="42"/>
      <c r="C8" s="42">
        <v>71201</v>
      </c>
      <c r="D8" s="43" t="s">
        <v>11</v>
      </c>
      <c r="E8" s="42">
        <v>3</v>
      </c>
      <c r="F8" s="42">
        <v>3</v>
      </c>
      <c r="G8" s="47">
        <f t="shared" si="0"/>
        <v>0</v>
      </c>
    </row>
    <row r="9" spans="1:7" s="44" customFormat="1" x14ac:dyDescent="0.2">
      <c r="A9" s="42">
        <v>596833</v>
      </c>
      <c r="B9" s="42"/>
      <c r="C9" s="42">
        <v>71202</v>
      </c>
      <c r="D9" s="43" t="s">
        <v>11</v>
      </c>
      <c r="E9" s="42">
        <v>3</v>
      </c>
      <c r="F9" s="42">
        <v>3</v>
      </c>
      <c r="G9" s="47">
        <f>E9-F9</f>
        <v>0</v>
      </c>
    </row>
    <row r="10" spans="1:7" s="44" customFormat="1" x14ac:dyDescent="0.2">
      <c r="A10" s="42">
        <v>596833</v>
      </c>
      <c r="B10" s="42"/>
      <c r="C10" s="42">
        <v>71203</v>
      </c>
      <c r="D10" s="43" t="s">
        <v>11</v>
      </c>
      <c r="E10" s="42">
        <v>3</v>
      </c>
      <c r="F10" s="42">
        <v>3</v>
      </c>
      <c r="G10" s="47">
        <f>E10-F10</f>
        <v>0</v>
      </c>
    </row>
    <row r="11" spans="1:7" s="44" customFormat="1" x14ac:dyDescent="0.2">
      <c r="A11" s="42">
        <v>596833</v>
      </c>
      <c r="B11" s="42"/>
      <c r="C11" s="42">
        <v>71204</v>
      </c>
      <c r="D11" s="43" t="s">
        <v>11</v>
      </c>
      <c r="E11" s="42">
        <v>3</v>
      </c>
      <c r="F11" s="42">
        <v>3</v>
      </c>
      <c r="G11" s="47">
        <f>E11-F11</f>
        <v>0</v>
      </c>
    </row>
    <row r="12" spans="1:7" s="44" customFormat="1" ht="13.5" customHeight="1" x14ac:dyDescent="0.2">
      <c r="A12" s="45">
        <v>596833</v>
      </c>
      <c r="B12" s="45"/>
      <c r="C12" s="45">
        <v>71205</v>
      </c>
      <c r="D12" s="46" t="s">
        <v>11</v>
      </c>
      <c r="E12" s="45">
        <v>0</v>
      </c>
      <c r="F12" s="45">
        <v>3</v>
      </c>
      <c r="G12" s="47">
        <f t="shared" ref="G12:G35" si="1">+E12-F12</f>
        <v>-3</v>
      </c>
    </row>
    <row r="13" spans="1:7" ht="13.5" customHeight="1" x14ac:dyDescent="0.2">
      <c r="A13" s="6">
        <v>551689</v>
      </c>
      <c r="B13" s="6"/>
      <c r="C13" s="6">
        <v>70403</v>
      </c>
      <c r="D13" s="7" t="s">
        <v>12</v>
      </c>
      <c r="E13" s="6">
        <v>10</v>
      </c>
      <c r="F13" s="6">
        <v>10</v>
      </c>
      <c r="G13" s="48">
        <f t="shared" si="1"/>
        <v>0</v>
      </c>
    </row>
    <row r="14" spans="1:7" ht="13.5" customHeight="1" x14ac:dyDescent="0.2">
      <c r="A14" s="6">
        <v>551705</v>
      </c>
      <c r="B14" s="6"/>
      <c r="C14" s="6">
        <v>70403</v>
      </c>
      <c r="D14" s="7" t="s">
        <v>13</v>
      </c>
      <c r="E14" s="6">
        <v>10</v>
      </c>
      <c r="F14" s="6">
        <v>10</v>
      </c>
      <c r="G14" s="8">
        <f t="shared" si="1"/>
        <v>0</v>
      </c>
    </row>
    <row r="15" spans="1:7" ht="13.5" customHeight="1" x14ac:dyDescent="0.2">
      <c r="A15" s="6">
        <v>36798</v>
      </c>
      <c r="B15" s="6"/>
      <c r="C15" s="6">
        <v>70403</v>
      </c>
      <c r="D15" s="7" t="s">
        <v>14</v>
      </c>
      <c r="E15" s="6">
        <v>5</v>
      </c>
      <c r="F15" s="6">
        <v>10</v>
      </c>
      <c r="G15" s="8">
        <f t="shared" si="1"/>
        <v>-5</v>
      </c>
    </row>
    <row r="16" spans="1:7" s="27" customFormat="1" ht="13.5" customHeight="1" x14ac:dyDescent="0.2">
      <c r="A16" s="6">
        <v>36814</v>
      </c>
      <c r="B16" s="6"/>
      <c r="C16" s="6">
        <v>70503</v>
      </c>
      <c r="D16" s="7" t="s">
        <v>15</v>
      </c>
      <c r="E16" s="6">
        <v>10</v>
      </c>
      <c r="F16" s="6">
        <v>10</v>
      </c>
      <c r="G16" s="8">
        <f t="shared" si="1"/>
        <v>0</v>
      </c>
    </row>
    <row r="17" spans="1:7" ht="13.5" customHeight="1" x14ac:dyDescent="0.2">
      <c r="A17" s="6">
        <v>551713</v>
      </c>
      <c r="B17" s="6"/>
      <c r="C17" s="6">
        <v>70503</v>
      </c>
      <c r="D17" s="7" t="s">
        <v>16</v>
      </c>
      <c r="E17" s="6">
        <v>5</v>
      </c>
      <c r="F17" s="6">
        <v>10</v>
      </c>
      <c r="G17" s="8">
        <f t="shared" si="1"/>
        <v>-5</v>
      </c>
    </row>
    <row r="18" spans="1:7" ht="13.5" customHeight="1" x14ac:dyDescent="0.2">
      <c r="A18" s="6">
        <v>551846</v>
      </c>
      <c r="B18" s="6"/>
      <c r="C18" s="6">
        <v>70304</v>
      </c>
      <c r="D18" s="7" t="s">
        <v>231</v>
      </c>
      <c r="E18" s="6">
        <v>50</v>
      </c>
      <c r="F18" s="6">
        <v>50</v>
      </c>
      <c r="G18" s="8">
        <f t="shared" si="1"/>
        <v>0</v>
      </c>
    </row>
    <row r="19" spans="1:7" ht="13.5" customHeight="1" x14ac:dyDescent="0.2">
      <c r="A19" s="6">
        <v>597484</v>
      </c>
      <c r="B19" s="6"/>
      <c r="C19" s="6">
        <v>70304</v>
      </c>
      <c r="D19" s="7" t="s">
        <v>229</v>
      </c>
      <c r="E19" s="6">
        <v>54</v>
      </c>
      <c r="F19" s="6">
        <v>50</v>
      </c>
      <c r="G19" s="8">
        <f t="shared" si="1"/>
        <v>4</v>
      </c>
    </row>
    <row r="20" spans="1:7" ht="13.5" customHeight="1" x14ac:dyDescent="0.2">
      <c r="A20" s="6">
        <v>597492</v>
      </c>
      <c r="B20" s="6"/>
      <c r="C20" s="6">
        <v>70304</v>
      </c>
      <c r="D20" s="7" t="s">
        <v>230</v>
      </c>
      <c r="E20" s="6">
        <v>26</v>
      </c>
      <c r="F20" s="6">
        <v>50</v>
      </c>
      <c r="G20" s="8">
        <f t="shared" si="1"/>
        <v>-24</v>
      </c>
    </row>
    <row r="21" spans="1:7" ht="13.5" customHeight="1" x14ac:dyDescent="0.2">
      <c r="A21" s="6">
        <v>341099</v>
      </c>
      <c r="B21" s="6"/>
      <c r="C21" s="6">
        <v>70302</v>
      </c>
      <c r="D21" s="7" t="s">
        <v>17</v>
      </c>
      <c r="E21" s="6">
        <v>9</v>
      </c>
      <c r="F21" s="6">
        <v>12</v>
      </c>
      <c r="G21" s="8">
        <f t="shared" si="1"/>
        <v>-3</v>
      </c>
    </row>
    <row r="22" spans="1:7" ht="13.5" customHeight="1" x14ac:dyDescent="0.2">
      <c r="A22" s="6">
        <v>341107</v>
      </c>
      <c r="B22" s="6"/>
      <c r="C22" s="6">
        <v>70303</v>
      </c>
      <c r="D22" s="7" t="s">
        <v>18</v>
      </c>
      <c r="E22" s="6">
        <v>16</v>
      </c>
      <c r="F22" s="6">
        <v>12</v>
      </c>
      <c r="G22" s="8">
        <f t="shared" si="1"/>
        <v>4</v>
      </c>
    </row>
    <row r="23" spans="1:7" ht="13.5" customHeight="1" x14ac:dyDescent="0.2">
      <c r="A23" s="6">
        <v>341115</v>
      </c>
      <c r="B23" s="6"/>
      <c r="C23" s="6">
        <v>70303</v>
      </c>
      <c r="D23" s="7" t="s">
        <v>19</v>
      </c>
      <c r="E23" s="6">
        <v>8</v>
      </c>
      <c r="F23" s="6">
        <v>12</v>
      </c>
      <c r="G23" s="8">
        <f t="shared" si="1"/>
        <v>-4</v>
      </c>
    </row>
    <row r="24" spans="1:7" ht="13.5" customHeight="1" x14ac:dyDescent="0.2">
      <c r="A24" s="6">
        <v>341099</v>
      </c>
      <c r="B24" s="6"/>
      <c r="C24" s="6">
        <v>70302</v>
      </c>
      <c r="D24" s="7" t="s">
        <v>20</v>
      </c>
      <c r="E24" s="6">
        <v>4</v>
      </c>
      <c r="F24" s="6">
        <v>12</v>
      </c>
      <c r="G24" s="8">
        <f t="shared" si="1"/>
        <v>-8</v>
      </c>
    </row>
    <row r="25" spans="1:7" ht="13.5" customHeight="1" x14ac:dyDescent="0.2">
      <c r="A25" s="6">
        <v>551929</v>
      </c>
      <c r="B25" s="6"/>
      <c r="C25" s="6">
        <v>70204</v>
      </c>
      <c r="D25" s="7" t="s">
        <v>21</v>
      </c>
      <c r="E25" s="6">
        <v>20</v>
      </c>
      <c r="F25" s="6">
        <v>20</v>
      </c>
      <c r="G25" s="8">
        <f t="shared" si="1"/>
        <v>0</v>
      </c>
    </row>
    <row r="26" spans="1:7" ht="13.5" customHeight="1" x14ac:dyDescent="0.2">
      <c r="A26" s="6">
        <v>747898</v>
      </c>
      <c r="B26" s="6"/>
      <c r="C26" s="6">
        <v>70204</v>
      </c>
      <c r="D26" s="7" t="s">
        <v>22</v>
      </c>
      <c r="E26" s="6">
        <v>20</v>
      </c>
      <c r="F26" s="6">
        <v>20</v>
      </c>
      <c r="G26" s="8">
        <f t="shared" si="1"/>
        <v>0</v>
      </c>
    </row>
    <row r="27" spans="1:7" ht="13.5" customHeight="1" x14ac:dyDescent="0.2">
      <c r="A27" s="6">
        <v>597260</v>
      </c>
      <c r="B27" s="6"/>
      <c r="C27" s="6">
        <v>70104</v>
      </c>
      <c r="D27" s="7" t="s">
        <v>23</v>
      </c>
      <c r="E27" s="6">
        <v>20</v>
      </c>
      <c r="F27" s="6">
        <v>20</v>
      </c>
      <c r="G27" s="8">
        <f t="shared" si="1"/>
        <v>0</v>
      </c>
    </row>
    <row r="28" spans="1:7" ht="13.5" customHeight="1" x14ac:dyDescent="0.2">
      <c r="A28" s="14">
        <v>551937</v>
      </c>
      <c r="B28" s="14"/>
      <c r="C28" s="14">
        <v>70104</v>
      </c>
      <c r="D28" s="15" t="s">
        <v>24</v>
      </c>
      <c r="E28" s="14">
        <v>20</v>
      </c>
      <c r="F28" s="14">
        <v>20</v>
      </c>
      <c r="G28" s="48">
        <f t="shared" si="1"/>
        <v>0</v>
      </c>
    </row>
    <row r="29" spans="1:7" ht="13.5" customHeight="1" x14ac:dyDescent="0.2">
      <c r="A29" s="6">
        <v>597278</v>
      </c>
      <c r="B29" s="6"/>
      <c r="C29" s="6">
        <v>70104</v>
      </c>
      <c r="D29" s="7" t="s">
        <v>25</v>
      </c>
      <c r="E29" s="6">
        <v>20</v>
      </c>
      <c r="F29" s="6">
        <v>20</v>
      </c>
      <c r="G29" s="8">
        <f t="shared" si="1"/>
        <v>0</v>
      </c>
    </row>
    <row r="30" spans="1:7" ht="13.5" customHeight="1" x14ac:dyDescent="0.2">
      <c r="A30" s="6">
        <v>597245</v>
      </c>
      <c r="B30" s="6"/>
      <c r="C30" s="6">
        <v>70204</v>
      </c>
      <c r="D30" s="7" t="s">
        <v>26</v>
      </c>
      <c r="E30" s="6">
        <v>20</v>
      </c>
      <c r="F30" s="6">
        <v>20</v>
      </c>
      <c r="G30" s="8">
        <f t="shared" si="1"/>
        <v>0</v>
      </c>
    </row>
    <row r="31" spans="1:7" ht="13.5" customHeight="1" x14ac:dyDescent="0.2">
      <c r="A31" s="11">
        <v>460352</v>
      </c>
      <c r="B31" s="11"/>
      <c r="C31" s="11">
        <v>70105</v>
      </c>
      <c r="D31" s="12" t="s">
        <v>27</v>
      </c>
      <c r="E31" s="11">
        <v>6</v>
      </c>
      <c r="F31" s="11">
        <v>6</v>
      </c>
      <c r="G31" s="8">
        <f t="shared" si="1"/>
        <v>0</v>
      </c>
    </row>
    <row r="32" spans="1:7" ht="13.5" customHeight="1" x14ac:dyDescent="0.2">
      <c r="A32" s="6">
        <v>36848</v>
      </c>
      <c r="B32" s="6"/>
      <c r="C32" s="6">
        <v>70103</v>
      </c>
      <c r="D32" s="7" t="s">
        <v>28</v>
      </c>
      <c r="E32" s="6">
        <v>12</v>
      </c>
      <c r="F32" s="6">
        <v>10</v>
      </c>
      <c r="G32" s="8">
        <f t="shared" si="1"/>
        <v>2</v>
      </c>
    </row>
    <row r="33" spans="1:7" ht="13.5" customHeight="1" x14ac:dyDescent="0.2">
      <c r="A33" s="6">
        <v>552067</v>
      </c>
      <c r="B33" s="6"/>
      <c r="C33" s="6">
        <v>71004</v>
      </c>
      <c r="D33" s="7" t="s">
        <v>29</v>
      </c>
      <c r="E33" s="6">
        <v>4</v>
      </c>
      <c r="F33" s="6">
        <v>10</v>
      </c>
      <c r="G33" s="8">
        <f t="shared" si="1"/>
        <v>-6</v>
      </c>
    </row>
    <row r="34" spans="1:7" ht="13.5" customHeight="1" x14ac:dyDescent="0.2">
      <c r="A34" s="6">
        <v>37895</v>
      </c>
      <c r="B34" s="6"/>
      <c r="C34" s="6">
        <v>70904</v>
      </c>
      <c r="D34" s="7" t="s">
        <v>30</v>
      </c>
      <c r="E34" s="6">
        <v>10</v>
      </c>
      <c r="F34" s="6">
        <v>10</v>
      </c>
      <c r="G34" s="8">
        <f t="shared" si="1"/>
        <v>0</v>
      </c>
    </row>
    <row r="35" spans="1:7" ht="13.5" customHeight="1" x14ac:dyDescent="0.2">
      <c r="A35" s="13">
        <v>552626</v>
      </c>
      <c r="B35" s="13"/>
      <c r="C35" s="13">
        <v>70904</v>
      </c>
      <c r="D35" s="7" t="s">
        <v>31</v>
      </c>
      <c r="E35" s="6">
        <v>10</v>
      </c>
      <c r="F35" s="6">
        <v>10</v>
      </c>
      <c r="G35" s="8">
        <f t="shared" si="1"/>
        <v>0</v>
      </c>
    </row>
    <row r="36" spans="1:7" ht="13.5" customHeight="1" x14ac:dyDescent="0.2">
      <c r="A36" s="13">
        <v>52209</v>
      </c>
      <c r="B36" s="13"/>
      <c r="C36" s="13">
        <v>71004</v>
      </c>
      <c r="D36" s="7" t="s">
        <v>32</v>
      </c>
      <c r="E36" s="6">
        <v>4</v>
      </c>
      <c r="F36" s="6">
        <v>4</v>
      </c>
      <c r="G36" s="8">
        <f>E36-F36</f>
        <v>0</v>
      </c>
    </row>
    <row r="37" spans="1:7" ht="13.5" customHeight="1" x14ac:dyDescent="0.2">
      <c r="A37" s="6">
        <v>38109</v>
      </c>
      <c r="B37" s="6"/>
      <c r="C37" s="6">
        <v>71003</v>
      </c>
      <c r="D37" s="7" t="s">
        <v>46</v>
      </c>
      <c r="E37" s="6">
        <v>10</v>
      </c>
      <c r="F37" s="6">
        <v>10</v>
      </c>
      <c r="G37" s="8">
        <f>+E37-F37</f>
        <v>0</v>
      </c>
    </row>
    <row r="38" spans="1:7" ht="13.5" customHeight="1" x14ac:dyDescent="0.2">
      <c r="A38" s="9">
        <v>552588</v>
      </c>
      <c r="B38" s="9"/>
      <c r="C38" s="9">
        <v>70903</v>
      </c>
      <c r="D38" s="10" t="s">
        <v>33</v>
      </c>
      <c r="E38" s="9">
        <v>20</v>
      </c>
      <c r="F38" s="9">
        <v>20</v>
      </c>
      <c r="G38" s="8">
        <f>+E38-F38</f>
        <v>0</v>
      </c>
    </row>
    <row r="39" spans="1:7" ht="13.5" customHeight="1" x14ac:dyDescent="0.2">
      <c r="A39" s="6">
        <v>38109</v>
      </c>
      <c r="B39" s="6"/>
      <c r="C39" s="6">
        <v>71003</v>
      </c>
      <c r="D39" s="7" t="s">
        <v>35</v>
      </c>
      <c r="E39" s="6">
        <v>10</v>
      </c>
      <c r="F39" s="6">
        <v>10</v>
      </c>
      <c r="G39" s="8">
        <f>E39-F39</f>
        <v>0</v>
      </c>
    </row>
    <row r="40" spans="1:7" ht="13.5" customHeight="1" x14ac:dyDescent="0.2">
      <c r="A40" s="6">
        <v>55020</v>
      </c>
      <c r="B40" s="6"/>
      <c r="C40" s="6">
        <v>70903</v>
      </c>
      <c r="D40" s="7" t="s">
        <v>34</v>
      </c>
      <c r="E40" s="6">
        <v>10</v>
      </c>
      <c r="F40" s="6">
        <v>10</v>
      </c>
      <c r="G40" s="8">
        <f t="shared" ref="G40:G73" si="2">+E40-F40</f>
        <v>0</v>
      </c>
    </row>
    <row r="41" spans="1:7" ht="13.5" customHeight="1" x14ac:dyDescent="0.2">
      <c r="A41" s="6">
        <v>552737</v>
      </c>
      <c r="B41" s="6"/>
      <c r="C41" s="6">
        <v>70603</v>
      </c>
      <c r="D41" s="7" t="s">
        <v>36</v>
      </c>
      <c r="E41" s="6">
        <v>25</v>
      </c>
      <c r="F41" s="6">
        <v>25</v>
      </c>
      <c r="G41" s="8">
        <f t="shared" si="2"/>
        <v>0</v>
      </c>
    </row>
    <row r="42" spans="1:7" ht="13.5" customHeight="1" x14ac:dyDescent="0.2">
      <c r="A42" s="6">
        <v>37275</v>
      </c>
      <c r="B42" s="6"/>
      <c r="C42" s="6">
        <v>70603</v>
      </c>
      <c r="D42" s="7" t="s">
        <v>37</v>
      </c>
      <c r="E42" s="6">
        <v>25</v>
      </c>
      <c r="F42" s="6">
        <v>25</v>
      </c>
      <c r="G42" s="8">
        <f t="shared" si="2"/>
        <v>0</v>
      </c>
    </row>
    <row r="43" spans="1:7" ht="13.5" customHeight="1" x14ac:dyDescent="0.2">
      <c r="A43" s="6">
        <v>552745</v>
      </c>
      <c r="B43" s="6"/>
      <c r="C43" s="6">
        <v>70604</v>
      </c>
      <c r="D43" s="7" t="s">
        <v>38</v>
      </c>
      <c r="E43" s="6">
        <v>20</v>
      </c>
      <c r="F43" s="6">
        <v>20</v>
      </c>
      <c r="G43" s="8">
        <f t="shared" si="2"/>
        <v>0</v>
      </c>
    </row>
    <row r="44" spans="1:7" ht="13.5" customHeight="1" x14ac:dyDescent="0.2">
      <c r="A44" s="6">
        <v>552760</v>
      </c>
      <c r="B44" s="6"/>
      <c r="C44" s="6">
        <v>70604</v>
      </c>
      <c r="D44" s="7" t="s">
        <v>39</v>
      </c>
      <c r="E44" s="6">
        <v>20</v>
      </c>
      <c r="F44" s="6">
        <v>20</v>
      </c>
      <c r="G44" s="8">
        <f t="shared" si="2"/>
        <v>0</v>
      </c>
    </row>
    <row r="45" spans="1:7" ht="13.5" customHeight="1" x14ac:dyDescent="0.2">
      <c r="A45" s="6">
        <v>45187</v>
      </c>
      <c r="B45" s="6"/>
      <c r="C45" s="6">
        <v>70503</v>
      </c>
      <c r="D45" s="7" t="s">
        <v>40</v>
      </c>
      <c r="E45" s="6">
        <v>10</v>
      </c>
      <c r="F45" s="6">
        <v>10</v>
      </c>
      <c r="G45" s="8">
        <f t="shared" si="2"/>
        <v>0</v>
      </c>
    </row>
    <row r="46" spans="1:7" ht="13.5" customHeight="1" x14ac:dyDescent="0.2">
      <c r="A46" s="6">
        <v>522976</v>
      </c>
      <c r="B46" s="6"/>
      <c r="C46" s="6">
        <v>70402</v>
      </c>
      <c r="D46" s="7" t="s">
        <v>41</v>
      </c>
      <c r="E46" s="6">
        <v>5</v>
      </c>
      <c r="F46" s="6">
        <v>10</v>
      </c>
      <c r="G46" s="8">
        <f t="shared" si="2"/>
        <v>-5</v>
      </c>
    </row>
    <row r="47" spans="1:7" ht="13.5" customHeight="1" x14ac:dyDescent="0.2">
      <c r="A47" s="6">
        <v>552976</v>
      </c>
      <c r="B47" s="6"/>
      <c r="C47" s="6">
        <v>70402</v>
      </c>
      <c r="D47" s="7" t="s">
        <v>42</v>
      </c>
      <c r="E47" s="6">
        <v>10</v>
      </c>
      <c r="F47" s="6">
        <v>10</v>
      </c>
      <c r="G47" s="8">
        <f t="shared" si="2"/>
        <v>0</v>
      </c>
    </row>
    <row r="48" spans="1:7" ht="13.5" customHeight="1" x14ac:dyDescent="0.2">
      <c r="A48" s="6">
        <v>337154</v>
      </c>
      <c r="B48" s="6"/>
      <c r="C48" s="6">
        <v>70402</v>
      </c>
      <c r="D48" s="7" t="s">
        <v>43</v>
      </c>
      <c r="E48" s="6">
        <v>10</v>
      </c>
      <c r="F48" s="6">
        <v>10</v>
      </c>
      <c r="G48" s="8">
        <f t="shared" si="2"/>
        <v>0</v>
      </c>
    </row>
    <row r="49" spans="1:7" ht="13.5" customHeight="1" x14ac:dyDescent="0.2">
      <c r="A49" s="6">
        <v>102087</v>
      </c>
      <c r="B49" s="6"/>
      <c r="C49" s="6">
        <v>71104</v>
      </c>
      <c r="D49" s="7" t="s">
        <v>44</v>
      </c>
      <c r="E49" s="6">
        <v>10</v>
      </c>
      <c r="F49" s="6">
        <v>10</v>
      </c>
      <c r="G49" s="8">
        <f t="shared" si="2"/>
        <v>0</v>
      </c>
    </row>
    <row r="50" spans="1:7" ht="13.5" customHeight="1" x14ac:dyDescent="0.2">
      <c r="A50" s="6">
        <v>101949</v>
      </c>
      <c r="B50" s="6"/>
      <c r="C50" s="6">
        <v>71104</v>
      </c>
      <c r="D50" s="7" t="s">
        <v>45</v>
      </c>
      <c r="E50" s="6">
        <v>10</v>
      </c>
      <c r="F50" s="6">
        <v>10</v>
      </c>
      <c r="G50" s="8">
        <f t="shared" si="2"/>
        <v>0</v>
      </c>
    </row>
    <row r="51" spans="1:7" ht="13.5" customHeight="1" x14ac:dyDescent="0.2">
      <c r="A51" s="6"/>
      <c r="B51" s="6"/>
      <c r="C51" s="6"/>
      <c r="D51" s="7" t="s">
        <v>47</v>
      </c>
      <c r="E51" s="6"/>
      <c r="F51" s="6">
        <v>4</v>
      </c>
      <c r="G51" s="8">
        <f t="shared" si="2"/>
        <v>-4</v>
      </c>
    </row>
    <row r="52" spans="1:7" ht="13.5" customHeight="1" x14ac:dyDescent="0.2">
      <c r="A52" s="6"/>
      <c r="B52" s="6"/>
      <c r="C52" s="6"/>
      <c r="D52" s="7" t="s">
        <v>50</v>
      </c>
      <c r="E52" s="6"/>
      <c r="F52" s="6">
        <v>5</v>
      </c>
      <c r="G52" s="8">
        <f t="shared" si="2"/>
        <v>-5</v>
      </c>
    </row>
    <row r="53" spans="1:7" ht="13.5" customHeight="1" x14ac:dyDescent="0.2">
      <c r="A53" s="6">
        <v>580928</v>
      </c>
      <c r="B53" s="6"/>
      <c r="C53" s="6">
        <v>70703</v>
      </c>
      <c r="D53" s="7" t="s">
        <v>52</v>
      </c>
      <c r="E53" s="6">
        <v>3</v>
      </c>
      <c r="F53" s="6">
        <v>5</v>
      </c>
      <c r="G53" s="8">
        <f t="shared" si="2"/>
        <v>-2</v>
      </c>
    </row>
    <row r="54" spans="1:7" ht="13.5" customHeight="1" x14ac:dyDescent="0.2">
      <c r="A54" s="6">
        <v>580910</v>
      </c>
      <c r="B54" s="6"/>
      <c r="C54" s="6">
        <v>70703</v>
      </c>
      <c r="D54" s="7" t="s">
        <v>53</v>
      </c>
      <c r="E54" s="6">
        <v>5</v>
      </c>
      <c r="F54" s="6">
        <v>5</v>
      </c>
      <c r="G54" s="8">
        <f t="shared" si="2"/>
        <v>0</v>
      </c>
    </row>
    <row r="55" spans="1:7" ht="13.5" customHeight="1" x14ac:dyDescent="0.2">
      <c r="A55" s="6">
        <v>37077</v>
      </c>
      <c r="B55" s="6"/>
      <c r="C55" s="6">
        <v>70202</v>
      </c>
      <c r="D55" s="7" t="s">
        <v>54</v>
      </c>
      <c r="E55" s="6">
        <v>2</v>
      </c>
      <c r="F55" s="6">
        <v>4</v>
      </c>
      <c r="G55" s="8">
        <f t="shared" si="2"/>
        <v>-2</v>
      </c>
    </row>
    <row r="56" spans="1:7" ht="13.5" customHeight="1" x14ac:dyDescent="0.2">
      <c r="A56" s="6">
        <v>596460</v>
      </c>
      <c r="B56" s="6"/>
      <c r="C56" s="6">
        <v>70103</v>
      </c>
      <c r="D56" s="7" t="s">
        <v>55</v>
      </c>
      <c r="E56" s="6">
        <v>12</v>
      </c>
      <c r="F56" s="6">
        <v>10</v>
      </c>
      <c r="G56" s="8">
        <f t="shared" si="2"/>
        <v>2</v>
      </c>
    </row>
    <row r="57" spans="1:7" ht="13.5" customHeight="1" x14ac:dyDescent="0.2">
      <c r="A57" s="6">
        <v>580654</v>
      </c>
      <c r="B57" s="6"/>
      <c r="C57" s="6">
        <v>70202</v>
      </c>
      <c r="D57" s="7" t="s">
        <v>56</v>
      </c>
      <c r="E57" s="6">
        <v>2</v>
      </c>
      <c r="F57" s="6">
        <v>3</v>
      </c>
      <c r="G57" s="8">
        <f t="shared" si="2"/>
        <v>-1</v>
      </c>
    </row>
    <row r="58" spans="1:7" ht="13.5" customHeight="1" x14ac:dyDescent="0.2">
      <c r="A58" s="6">
        <v>41255</v>
      </c>
      <c r="B58" s="6"/>
      <c r="C58" s="6">
        <v>70905</v>
      </c>
      <c r="D58" s="7" t="s">
        <v>57</v>
      </c>
      <c r="E58" s="6">
        <v>50</v>
      </c>
      <c r="F58" s="6">
        <v>50</v>
      </c>
      <c r="G58" s="8">
        <f t="shared" si="2"/>
        <v>0</v>
      </c>
    </row>
    <row r="59" spans="1:7" ht="13.5" customHeight="1" x14ac:dyDescent="0.2">
      <c r="A59" s="6">
        <v>41285</v>
      </c>
      <c r="B59" s="6"/>
      <c r="C59" s="6">
        <v>71005</v>
      </c>
      <c r="D59" s="7" t="s">
        <v>58</v>
      </c>
      <c r="E59" s="6">
        <v>15</v>
      </c>
      <c r="F59" s="6">
        <v>50</v>
      </c>
      <c r="G59" s="8">
        <f t="shared" si="2"/>
        <v>-35</v>
      </c>
    </row>
    <row r="60" spans="1:7" ht="13.5" customHeight="1" x14ac:dyDescent="0.2">
      <c r="A60" s="6">
        <v>361410</v>
      </c>
      <c r="B60" s="6"/>
      <c r="C60" s="6">
        <v>71005</v>
      </c>
      <c r="D60" s="7" t="s">
        <v>59</v>
      </c>
      <c r="E60" s="6">
        <v>10</v>
      </c>
      <c r="F60" s="6">
        <v>50</v>
      </c>
      <c r="G60" s="8">
        <f t="shared" si="2"/>
        <v>-40</v>
      </c>
    </row>
    <row r="61" spans="1:7" ht="13.5" customHeight="1" x14ac:dyDescent="0.2">
      <c r="A61" s="6">
        <v>41269</v>
      </c>
      <c r="B61" s="6"/>
      <c r="C61" s="6">
        <v>70905</v>
      </c>
      <c r="D61" s="7" t="s">
        <v>60</v>
      </c>
      <c r="E61" s="6">
        <v>50</v>
      </c>
      <c r="F61" s="6">
        <v>50</v>
      </c>
      <c r="G61" s="8">
        <f t="shared" si="2"/>
        <v>0</v>
      </c>
    </row>
    <row r="62" spans="1:7" ht="13.5" customHeight="1" x14ac:dyDescent="0.2">
      <c r="A62" s="6">
        <v>44362</v>
      </c>
      <c r="B62" s="6"/>
      <c r="C62" s="6">
        <v>70705</v>
      </c>
      <c r="D62" s="7" t="s">
        <v>61</v>
      </c>
      <c r="E62" s="6">
        <v>50</v>
      </c>
      <c r="F62" s="6">
        <v>50</v>
      </c>
      <c r="G62" s="8">
        <f t="shared" si="2"/>
        <v>0</v>
      </c>
    </row>
    <row r="63" spans="1:7" ht="13.5" customHeight="1" x14ac:dyDescent="0.2">
      <c r="A63" s="6">
        <v>41228</v>
      </c>
      <c r="B63" s="6"/>
      <c r="C63" s="6">
        <v>70705</v>
      </c>
      <c r="D63" s="7" t="s">
        <v>62</v>
      </c>
      <c r="E63" s="6">
        <v>50</v>
      </c>
      <c r="F63" s="6">
        <v>50</v>
      </c>
      <c r="G63" s="8">
        <f t="shared" si="2"/>
        <v>0</v>
      </c>
    </row>
    <row r="64" spans="1:7" ht="13.5" customHeight="1" x14ac:dyDescent="0.2">
      <c r="A64" s="6">
        <v>41244</v>
      </c>
      <c r="B64" s="6"/>
      <c r="C64" s="6">
        <v>70805</v>
      </c>
      <c r="D64" s="7" t="s">
        <v>63</v>
      </c>
      <c r="E64" s="6">
        <v>50</v>
      </c>
      <c r="F64" s="6">
        <v>50</v>
      </c>
      <c r="G64" s="8">
        <f t="shared" si="2"/>
        <v>0</v>
      </c>
    </row>
    <row r="65" spans="1:7" ht="13.5" customHeight="1" x14ac:dyDescent="0.2">
      <c r="A65" s="6">
        <v>553727</v>
      </c>
      <c r="B65" s="6"/>
      <c r="C65" s="6">
        <v>70805</v>
      </c>
      <c r="D65" s="7" t="s">
        <v>64</v>
      </c>
      <c r="E65" s="6">
        <v>9</v>
      </c>
      <c r="F65" s="6">
        <v>50</v>
      </c>
      <c r="G65" s="8">
        <f t="shared" si="2"/>
        <v>-41</v>
      </c>
    </row>
    <row r="66" spans="1:7" ht="13.5" customHeight="1" x14ac:dyDescent="0.2">
      <c r="A66" s="6">
        <v>341594</v>
      </c>
      <c r="B66" s="6"/>
      <c r="C66" s="6">
        <v>70804</v>
      </c>
      <c r="D66" s="7" t="s">
        <v>65</v>
      </c>
      <c r="E66" s="6">
        <v>49</v>
      </c>
      <c r="F66" s="6">
        <v>10</v>
      </c>
      <c r="G66" s="8">
        <f t="shared" si="2"/>
        <v>39</v>
      </c>
    </row>
    <row r="67" spans="1:7" ht="13.5" customHeight="1" x14ac:dyDescent="0.2">
      <c r="A67" s="6">
        <v>341602</v>
      </c>
      <c r="B67" s="6"/>
      <c r="C67" s="6">
        <v>70804</v>
      </c>
      <c r="D67" s="7" t="s">
        <v>66</v>
      </c>
      <c r="E67" s="6">
        <v>10</v>
      </c>
      <c r="F67" s="6">
        <v>10</v>
      </c>
      <c r="G67" s="8">
        <f t="shared" si="2"/>
        <v>0</v>
      </c>
    </row>
    <row r="68" spans="1:7" ht="13.5" customHeight="1" x14ac:dyDescent="0.2">
      <c r="A68" s="6">
        <v>758058</v>
      </c>
      <c r="B68" s="6"/>
      <c r="C68" s="6">
        <v>70803</v>
      </c>
      <c r="D68" s="7" t="s">
        <v>67</v>
      </c>
      <c r="E68" s="6">
        <v>4</v>
      </c>
      <c r="F68" s="6">
        <v>10</v>
      </c>
      <c r="G68" s="8">
        <f t="shared" si="2"/>
        <v>-6</v>
      </c>
    </row>
    <row r="69" spans="1:7" ht="13.5" customHeight="1" x14ac:dyDescent="0.2">
      <c r="A69" s="9">
        <v>552935</v>
      </c>
      <c r="B69" s="9"/>
      <c r="C69" s="9">
        <v>71003</v>
      </c>
      <c r="D69" s="10" t="s">
        <v>68</v>
      </c>
      <c r="E69" s="9">
        <v>9</v>
      </c>
      <c r="F69" s="9">
        <v>10</v>
      </c>
      <c r="G69" s="8">
        <f t="shared" si="2"/>
        <v>-1</v>
      </c>
    </row>
    <row r="70" spans="1:7" ht="13.5" customHeight="1" x14ac:dyDescent="0.2">
      <c r="A70" s="6">
        <v>554030</v>
      </c>
      <c r="B70" s="6"/>
      <c r="C70" s="6">
        <v>70504</v>
      </c>
      <c r="D70" s="7" t="s">
        <v>69</v>
      </c>
      <c r="E70" s="6">
        <v>20</v>
      </c>
      <c r="F70" s="6">
        <v>30</v>
      </c>
      <c r="G70" s="8">
        <f t="shared" si="2"/>
        <v>-10</v>
      </c>
    </row>
    <row r="71" spans="1:7" ht="13.5" customHeight="1" x14ac:dyDescent="0.2">
      <c r="A71" s="6">
        <v>554048</v>
      </c>
      <c r="B71" s="6"/>
      <c r="C71" s="6">
        <v>70504</v>
      </c>
      <c r="D71" s="7" t="s">
        <v>70</v>
      </c>
      <c r="E71" s="6">
        <v>10</v>
      </c>
      <c r="F71" s="6">
        <v>10</v>
      </c>
      <c r="G71" s="8">
        <f t="shared" si="2"/>
        <v>0</v>
      </c>
    </row>
    <row r="72" spans="1:7" ht="13.5" customHeight="1" x14ac:dyDescent="0.2">
      <c r="A72" s="6">
        <v>747911</v>
      </c>
      <c r="B72" s="6"/>
      <c r="C72" s="6">
        <v>70703</v>
      </c>
      <c r="D72" s="7" t="s">
        <v>71</v>
      </c>
      <c r="E72" s="6">
        <v>20</v>
      </c>
      <c r="F72" s="6">
        <v>50</v>
      </c>
      <c r="G72" s="8">
        <f t="shared" si="2"/>
        <v>-30</v>
      </c>
    </row>
    <row r="73" spans="1:7" ht="13.5" customHeight="1" x14ac:dyDescent="0.2">
      <c r="A73" s="6">
        <v>747894</v>
      </c>
      <c r="B73" s="6"/>
      <c r="C73" s="6">
        <v>70502</v>
      </c>
      <c r="D73" s="7" t="s">
        <v>72</v>
      </c>
      <c r="E73" s="6">
        <v>40</v>
      </c>
      <c r="F73" s="6">
        <v>20</v>
      </c>
      <c r="G73" s="8">
        <f t="shared" si="2"/>
        <v>20</v>
      </c>
    </row>
    <row r="74" spans="1:7" ht="13.5" customHeight="1" x14ac:dyDescent="0.2">
      <c r="A74" s="6">
        <v>596122</v>
      </c>
      <c r="B74" s="6"/>
      <c r="C74" s="6">
        <v>70101</v>
      </c>
      <c r="D74" s="7" t="s">
        <v>232</v>
      </c>
      <c r="E74" s="6">
        <v>20</v>
      </c>
      <c r="F74" s="6">
        <v>40</v>
      </c>
      <c r="G74" s="8">
        <f>E74-F74</f>
        <v>-20</v>
      </c>
    </row>
    <row r="75" spans="1:7" ht="13.5" customHeight="1" x14ac:dyDescent="0.2">
      <c r="A75" s="6">
        <v>596122</v>
      </c>
      <c r="B75" s="6"/>
      <c r="C75" s="6">
        <v>70201</v>
      </c>
      <c r="D75" s="7" t="s">
        <v>232</v>
      </c>
      <c r="E75" s="6">
        <v>20</v>
      </c>
      <c r="F75" s="6">
        <v>40</v>
      </c>
      <c r="G75" s="8">
        <f>E75-F75</f>
        <v>-20</v>
      </c>
    </row>
    <row r="76" spans="1:7" ht="13.5" customHeight="1" x14ac:dyDescent="0.2">
      <c r="A76" s="6">
        <v>596122</v>
      </c>
      <c r="B76" s="6"/>
      <c r="C76" s="6">
        <v>70202</v>
      </c>
      <c r="D76" s="7" t="s">
        <v>232</v>
      </c>
      <c r="E76" s="6">
        <v>40</v>
      </c>
      <c r="F76" s="6">
        <v>40</v>
      </c>
      <c r="G76" s="8">
        <f>E76-F76</f>
        <v>0</v>
      </c>
    </row>
    <row r="77" spans="1:7" ht="13.5" customHeight="1" x14ac:dyDescent="0.2">
      <c r="A77" s="6">
        <v>596122</v>
      </c>
      <c r="B77" s="6"/>
      <c r="C77" s="6">
        <v>70102</v>
      </c>
      <c r="D77" s="7" t="s">
        <v>232</v>
      </c>
      <c r="E77" s="6">
        <v>20</v>
      </c>
      <c r="F77" s="6">
        <v>40</v>
      </c>
      <c r="G77" s="8">
        <f>E77-F77</f>
        <v>-20</v>
      </c>
    </row>
    <row r="78" spans="1:7" ht="13.5" customHeight="1" x14ac:dyDescent="0.2">
      <c r="A78" s="6">
        <v>37978</v>
      </c>
      <c r="B78" s="6"/>
      <c r="C78" s="6">
        <v>70801</v>
      </c>
      <c r="D78" s="7" t="s">
        <v>74</v>
      </c>
      <c r="E78" s="6">
        <v>20</v>
      </c>
      <c r="F78" s="6">
        <v>20</v>
      </c>
      <c r="G78" s="8">
        <f t="shared" ref="G78:G95" si="3">+E78-F78</f>
        <v>0</v>
      </c>
    </row>
    <row r="79" spans="1:7" ht="13.5" customHeight="1" x14ac:dyDescent="0.2">
      <c r="A79" s="6">
        <v>37986</v>
      </c>
      <c r="B79" s="6"/>
      <c r="C79" s="6">
        <v>70901</v>
      </c>
      <c r="D79" s="7" t="s">
        <v>73</v>
      </c>
      <c r="E79" s="6">
        <v>10</v>
      </c>
      <c r="F79" s="6">
        <v>20</v>
      </c>
      <c r="G79" s="8">
        <f t="shared" si="3"/>
        <v>-10</v>
      </c>
    </row>
    <row r="80" spans="1:7" ht="13.5" customHeight="1" x14ac:dyDescent="0.2">
      <c r="A80" s="6">
        <v>37994</v>
      </c>
      <c r="B80" s="6"/>
      <c r="C80" s="6">
        <v>70901</v>
      </c>
      <c r="D80" s="7" t="s">
        <v>48</v>
      </c>
      <c r="E80" s="6">
        <v>11</v>
      </c>
      <c r="F80" s="6">
        <v>10</v>
      </c>
      <c r="G80" s="8">
        <f t="shared" si="3"/>
        <v>1</v>
      </c>
    </row>
    <row r="81" spans="1:7" ht="13.5" customHeight="1" x14ac:dyDescent="0.2">
      <c r="A81" s="6">
        <v>55656</v>
      </c>
      <c r="B81" s="6"/>
      <c r="C81" s="6">
        <v>70801</v>
      </c>
      <c r="D81" s="7" t="s">
        <v>75</v>
      </c>
      <c r="E81" s="6">
        <v>20</v>
      </c>
      <c r="F81" s="6">
        <v>20</v>
      </c>
      <c r="G81" s="8">
        <f t="shared" si="3"/>
        <v>0</v>
      </c>
    </row>
    <row r="82" spans="1:7" ht="13.5" customHeight="1" x14ac:dyDescent="0.2">
      <c r="A82" s="6">
        <v>38166</v>
      </c>
      <c r="B82" s="6"/>
      <c r="C82" s="6">
        <v>701003</v>
      </c>
      <c r="D82" s="7" t="s">
        <v>49</v>
      </c>
      <c r="E82" s="6">
        <v>5</v>
      </c>
      <c r="F82" s="6">
        <v>10</v>
      </c>
      <c r="G82" s="8">
        <f t="shared" si="3"/>
        <v>-5</v>
      </c>
    </row>
    <row r="83" spans="1:7" ht="13.5" customHeight="1" x14ac:dyDescent="0.2">
      <c r="A83" s="6">
        <v>597609</v>
      </c>
      <c r="B83" s="6"/>
      <c r="C83" s="6">
        <v>70305</v>
      </c>
      <c r="D83" s="7" t="s">
        <v>76</v>
      </c>
      <c r="E83" s="6">
        <v>8</v>
      </c>
      <c r="F83" s="6">
        <v>12</v>
      </c>
      <c r="G83" s="8">
        <f t="shared" si="3"/>
        <v>-4</v>
      </c>
    </row>
    <row r="84" spans="1:7" ht="13.5" customHeight="1" x14ac:dyDescent="0.2">
      <c r="A84" s="6">
        <v>757733</v>
      </c>
      <c r="B84" s="6"/>
      <c r="C84" s="6">
        <v>70702</v>
      </c>
      <c r="D84" s="7" t="s">
        <v>77</v>
      </c>
      <c r="E84" s="6">
        <v>8</v>
      </c>
      <c r="F84" s="6">
        <v>10</v>
      </c>
      <c r="G84" s="8">
        <f t="shared" si="3"/>
        <v>-2</v>
      </c>
    </row>
    <row r="85" spans="1:7" ht="13.5" customHeight="1" x14ac:dyDescent="0.2">
      <c r="A85" s="6">
        <v>556274</v>
      </c>
      <c r="B85" s="6"/>
      <c r="C85" s="6">
        <v>70802</v>
      </c>
      <c r="D85" s="7" t="s">
        <v>79</v>
      </c>
      <c r="E85" s="6">
        <v>10</v>
      </c>
      <c r="F85" s="6">
        <v>20</v>
      </c>
      <c r="G85" s="8">
        <f t="shared" si="3"/>
        <v>-10</v>
      </c>
    </row>
    <row r="86" spans="1:7" ht="13.5" customHeight="1" x14ac:dyDescent="0.2">
      <c r="A86" s="6">
        <v>747860</v>
      </c>
      <c r="B86" s="6"/>
      <c r="C86" s="6">
        <v>70902</v>
      </c>
      <c r="D86" s="7" t="s">
        <v>78</v>
      </c>
      <c r="E86" s="6">
        <v>8</v>
      </c>
      <c r="F86" s="6">
        <v>10</v>
      </c>
      <c r="G86" s="8">
        <f t="shared" si="3"/>
        <v>-2</v>
      </c>
    </row>
    <row r="87" spans="1:7" ht="13.5" customHeight="1" x14ac:dyDescent="0.2">
      <c r="A87" s="6">
        <v>556266</v>
      </c>
      <c r="B87" s="6"/>
      <c r="C87" s="6">
        <v>70802</v>
      </c>
      <c r="D87" s="7" t="s">
        <v>51</v>
      </c>
      <c r="E87" s="6">
        <v>11</v>
      </c>
      <c r="F87" s="6">
        <v>10</v>
      </c>
      <c r="G87" s="8">
        <f t="shared" si="3"/>
        <v>1</v>
      </c>
    </row>
    <row r="88" spans="1:7" ht="13.5" customHeight="1" x14ac:dyDescent="0.2">
      <c r="A88" s="6">
        <v>51599</v>
      </c>
      <c r="B88" s="6"/>
      <c r="C88" s="6">
        <v>70902</v>
      </c>
      <c r="D88" s="7" t="s">
        <v>80</v>
      </c>
      <c r="E88" s="6">
        <v>0</v>
      </c>
      <c r="F88" s="6">
        <v>10</v>
      </c>
      <c r="G88" s="8">
        <f t="shared" si="3"/>
        <v>-10</v>
      </c>
    </row>
    <row r="89" spans="1:7" ht="13.5" customHeight="1" x14ac:dyDescent="0.2">
      <c r="A89" s="6">
        <v>556282</v>
      </c>
      <c r="B89" s="6"/>
      <c r="C89" s="6">
        <v>70802</v>
      </c>
      <c r="D89" s="7" t="s">
        <v>81</v>
      </c>
      <c r="E89" s="6">
        <v>6</v>
      </c>
      <c r="F89" s="6">
        <v>20</v>
      </c>
      <c r="G89" s="8">
        <f t="shared" si="3"/>
        <v>-14</v>
      </c>
    </row>
    <row r="90" spans="1:7" ht="13.5" customHeight="1" x14ac:dyDescent="0.2">
      <c r="A90" s="6">
        <v>757735</v>
      </c>
      <c r="B90" s="6"/>
      <c r="C90" s="6">
        <v>70803</v>
      </c>
      <c r="D90" s="7" t="s">
        <v>82</v>
      </c>
      <c r="E90" s="6">
        <v>1</v>
      </c>
      <c r="F90" s="6">
        <v>4</v>
      </c>
      <c r="G90" s="8">
        <f t="shared" si="3"/>
        <v>-3</v>
      </c>
    </row>
    <row r="91" spans="1:7" ht="13.5" customHeight="1" x14ac:dyDescent="0.2">
      <c r="A91" s="6">
        <v>556365</v>
      </c>
      <c r="B91" s="6"/>
      <c r="C91" s="6">
        <v>70203</v>
      </c>
      <c r="D91" s="7" t="s">
        <v>83</v>
      </c>
      <c r="E91" s="6">
        <v>10</v>
      </c>
      <c r="F91" s="6">
        <v>10</v>
      </c>
      <c r="G91" s="8">
        <f t="shared" si="3"/>
        <v>0</v>
      </c>
    </row>
    <row r="92" spans="1:7" ht="13.5" customHeight="1" x14ac:dyDescent="0.2">
      <c r="A92" s="6">
        <v>45112</v>
      </c>
      <c r="B92" s="6"/>
      <c r="C92" s="6">
        <v>70203</v>
      </c>
      <c r="D92" s="7" t="s">
        <v>84</v>
      </c>
      <c r="E92" s="6">
        <v>10</v>
      </c>
      <c r="F92" s="6">
        <v>10</v>
      </c>
      <c r="G92" s="8">
        <f t="shared" si="3"/>
        <v>0</v>
      </c>
    </row>
    <row r="93" spans="1:7" x14ac:dyDescent="0.2">
      <c r="A93" s="6">
        <v>45120</v>
      </c>
      <c r="B93" s="6"/>
      <c r="C93" s="6">
        <v>70203</v>
      </c>
      <c r="D93" s="7" t="s">
        <v>85</v>
      </c>
      <c r="E93" s="6">
        <v>10</v>
      </c>
      <c r="F93" s="6">
        <v>10</v>
      </c>
      <c r="G93" s="8">
        <f t="shared" si="3"/>
        <v>0</v>
      </c>
    </row>
    <row r="94" spans="1:7" x14ac:dyDescent="0.2">
      <c r="A94" s="6">
        <v>556373</v>
      </c>
      <c r="B94" s="6"/>
      <c r="C94" s="6">
        <v>70203</v>
      </c>
      <c r="D94" s="7" t="s">
        <v>86</v>
      </c>
      <c r="E94" s="6">
        <v>5</v>
      </c>
      <c r="F94" s="6">
        <v>10</v>
      </c>
      <c r="G94" s="8">
        <f t="shared" si="3"/>
        <v>-5</v>
      </c>
    </row>
    <row r="95" spans="1:7" x14ac:dyDescent="0.2">
      <c r="A95" s="14">
        <v>37044</v>
      </c>
      <c r="B95" s="14"/>
      <c r="C95" s="14">
        <v>70202</v>
      </c>
      <c r="D95" s="15" t="s">
        <v>87</v>
      </c>
      <c r="E95" s="14">
        <v>2</v>
      </c>
      <c r="F95" s="14">
        <v>4</v>
      </c>
      <c r="G95" s="8">
        <f t="shared" si="3"/>
        <v>-2</v>
      </c>
    </row>
    <row r="1048497" spans="6:6" x14ac:dyDescent="0.2">
      <c r="F1048497" s="16" t="s">
        <v>88</v>
      </c>
    </row>
    <row r="1048498" spans="6:6" x14ac:dyDescent="0.2">
      <c r="F1048498" s="16"/>
    </row>
    <row r="1048499" spans="6:6" x14ac:dyDescent="0.2">
      <c r="F1048499" s="16"/>
    </row>
    <row r="1048500" spans="6:6" ht="42" customHeight="1" x14ac:dyDescent="0.2">
      <c r="F1048500" s="16"/>
    </row>
    <row r="1048501" spans="6:6" ht="12.75" customHeight="1" x14ac:dyDescent="0.2">
      <c r="F1048501" s="16"/>
    </row>
    <row r="1048502" spans="6:6" ht="12.75" customHeight="1" x14ac:dyDescent="0.2">
      <c r="F1048502" s="16"/>
    </row>
    <row r="1048503" spans="6:6" ht="12.75" customHeight="1" x14ac:dyDescent="0.2">
      <c r="F1048503" s="16"/>
    </row>
    <row r="1048504" spans="6:6" ht="12.75" customHeight="1" x14ac:dyDescent="0.2">
      <c r="F1048504" s="16"/>
    </row>
    <row r="1048505" spans="6:6" ht="12.75" customHeight="1" x14ac:dyDescent="0.2">
      <c r="F1048505" s="16"/>
    </row>
    <row r="1048506" spans="6:6" ht="12.75" customHeight="1" x14ac:dyDescent="0.2">
      <c r="F1048506" s="16"/>
    </row>
    <row r="1048507" spans="6:6" ht="12.75" customHeight="1" x14ac:dyDescent="0.2">
      <c r="F1048507" s="16"/>
    </row>
    <row r="1048508" spans="6:6" ht="12.75" customHeight="1" x14ac:dyDescent="0.2">
      <c r="F1048508" s="16"/>
    </row>
    <row r="1048509" spans="6:6" ht="12.75" customHeight="1" x14ac:dyDescent="0.2">
      <c r="F1048509" s="16"/>
    </row>
    <row r="1048510" spans="6:6" ht="12.75" customHeight="1" x14ac:dyDescent="0.2">
      <c r="F1048510" s="16"/>
    </row>
    <row r="1048511" spans="6:6" ht="12.75" customHeight="1" x14ac:dyDescent="0.2">
      <c r="F1048511" s="16"/>
    </row>
    <row r="1048512" spans="6:6" ht="12.75" customHeight="1" x14ac:dyDescent="0.2">
      <c r="F1048512" s="16"/>
    </row>
    <row r="1048513" spans="6:6" ht="12.75" customHeight="1" x14ac:dyDescent="0.2">
      <c r="F1048513" s="16"/>
    </row>
    <row r="1048514" spans="6:6" ht="12.75" customHeight="1" x14ac:dyDescent="0.2">
      <c r="F1048514" s="16"/>
    </row>
    <row r="1048515" spans="6:6" ht="12.75" customHeight="1" x14ac:dyDescent="0.2">
      <c r="F1048515" s="16"/>
    </row>
    <row r="1048516" spans="6:6" ht="12.75" customHeight="1" x14ac:dyDescent="0.2">
      <c r="F1048516" s="16"/>
    </row>
    <row r="1048517" spans="6:6" ht="12.75" customHeight="1" x14ac:dyDescent="0.2">
      <c r="F1048517" s="16"/>
    </row>
    <row r="1048518" spans="6:6" ht="12.75" customHeight="1" x14ac:dyDescent="0.2">
      <c r="F1048518" s="16"/>
    </row>
    <row r="1048519" spans="6:6" ht="12.75" customHeight="1" x14ac:dyDescent="0.2">
      <c r="F1048519" s="16"/>
    </row>
    <row r="1048520" spans="6:6" ht="12.75" customHeight="1" x14ac:dyDescent="0.2">
      <c r="F1048520" s="16"/>
    </row>
    <row r="1048521" spans="6:6" ht="12.75" customHeight="1" x14ac:dyDescent="0.2">
      <c r="F1048521" s="16"/>
    </row>
    <row r="1048522" spans="6:6" ht="12.75" customHeight="1" x14ac:dyDescent="0.2">
      <c r="F1048522" s="16"/>
    </row>
    <row r="1048523" spans="6:6" ht="12.75" customHeight="1" x14ac:dyDescent="0.2">
      <c r="F1048523" s="16"/>
    </row>
    <row r="1048524" spans="6:6" ht="12.75" customHeight="1" x14ac:dyDescent="0.2">
      <c r="F1048524" s="16"/>
    </row>
    <row r="1048525" spans="6:6" ht="12.75" customHeight="1" x14ac:dyDescent="0.2">
      <c r="F1048525" s="16"/>
    </row>
    <row r="1048526" spans="6:6" ht="12.75" customHeight="1" x14ac:dyDescent="0.2">
      <c r="F1048526" s="16"/>
    </row>
    <row r="1048527" spans="6:6" ht="12.75" customHeight="1" x14ac:dyDescent="0.2">
      <c r="F1048527" s="16"/>
    </row>
    <row r="1048528" spans="6:6" ht="12.75" customHeight="1" x14ac:dyDescent="0.2">
      <c r="F1048528" s="16"/>
    </row>
    <row r="1048529" spans="6:6" ht="12.75" customHeight="1" x14ac:dyDescent="0.2">
      <c r="F1048529" s="16"/>
    </row>
    <row r="1048530" spans="6:6" ht="12.75" customHeight="1" x14ac:dyDescent="0.2">
      <c r="F1048530" s="16"/>
    </row>
    <row r="1048531" spans="6:6" ht="12.75" customHeight="1" x14ac:dyDescent="0.2">
      <c r="F1048531" s="16"/>
    </row>
    <row r="1048532" spans="6:6" ht="12.75" customHeight="1" x14ac:dyDescent="0.2">
      <c r="F1048532" s="16"/>
    </row>
    <row r="1048533" spans="6:6" ht="12.75" customHeight="1" x14ac:dyDescent="0.2">
      <c r="F1048533" s="16"/>
    </row>
    <row r="1048534" spans="6:6" ht="12.75" customHeight="1" x14ac:dyDescent="0.2">
      <c r="F1048534" s="16"/>
    </row>
    <row r="1048535" spans="6:6" ht="12.75" customHeight="1" x14ac:dyDescent="0.2">
      <c r="F1048535" s="16"/>
    </row>
    <row r="1048536" spans="6:6" ht="12.75" customHeight="1" x14ac:dyDescent="0.2">
      <c r="F1048536" s="16"/>
    </row>
    <row r="1048537" spans="6:6" ht="12.75" customHeight="1" x14ac:dyDescent="0.2">
      <c r="F1048537" s="16"/>
    </row>
    <row r="1048538" spans="6:6" ht="12.75" customHeight="1" x14ac:dyDescent="0.2">
      <c r="F1048538" s="16"/>
    </row>
    <row r="1048539" spans="6:6" ht="12.75" customHeight="1" x14ac:dyDescent="0.2">
      <c r="F1048539" s="16"/>
    </row>
    <row r="1048540" spans="6:6" ht="12.75" customHeight="1" x14ac:dyDescent="0.2">
      <c r="F1048540" s="16"/>
    </row>
    <row r="1048541" spans="6:6" ht="12.75" customHeight="1" x14ac:dyDescent="0.2">
      <c r="F1048541" s="16"/>
    </row>
    <row r="1048542" spans="6:6" ht="12.75" customHeight="1" x14ac:dyDescent="0.2">
      <c r="F1048542" s="16"/>
    </row>
    <row r="1048543" spans="6:6" ht="12.75" customHeight="1" x14ac:dyDescent="0.2">
      <c r="F1048543" s="16"/>
    </row>
    <row r="1048544" spans="6:6" ht="12.75" customHeight="1" x14ac:dyDescent="0.2">
      <c r="F1048544" s="16"/>
    </row>
    <row r="1048545" spans="6:6" ht="12.75" customHeight="1" x14ac:dyDescent="0.2">
      <c r="F1048545" s="16"/>
    </row>
    <row r="1048546" spans="6:6" ht="12.75" customHeight="1" x14ac:dyDescent="0.2">
      <c r="F1048546" s="16"/>
    </row>
    <row r="1048547" spans="6:6" ht="12.75" customHeight="1" x14ac:dyDescent="0.2">
      <c r="F1048547" s="16"/>
    </row>
    <row r="1048548" spans="6:6" ht="12.75" customHeight="1" x14ac:dyDescent="0.2">
      <c r="F1048548" s="16"/>
    </row>
    <row r="1048549" spans="6:6" ht="12.75" customHeight="1" x14ac:dyDescent="0.2">
      <c r="F1048549" s="16"/>
    </row>
    <row r="1048550" spans="6:6" ht="12.75" customHeight="1" x14ac:dyDescent="0.2">
      <c r="F1048550" s="16"/>
    </row>
    <row r="1048551" spans="6:6" ht="12.75" customHeight="1" x14ac:dyDescent="0.2">
      <c r="F1048551" s="16"/>
    </row>
    <row r="1048552" spans="6:6" ht="12.75" customHeight="1" x14ac:dyDescent="0.2">
      <c r="F1048552" s="16"/>
    </row>
    <row r="1048553" spans="6:6" ht="12.75" customHeight="1" x14ac:dyDescent="0.2">
      <c r="F1048553" s="16"/>
    </row>
    <row r="1048554" spans="6:6" ht="12.75" customHeight="1" x14ac:dyDescent="0.2">
      <c r="F1048554" s="16"/>
    </row>
    <row r="1048555" spans="6:6" ht="12.75" customHeight="1" x14ac:dyDescent="0.2">
      <c r="F1048555" s="16"/>
    </row>
    <row r="1048556" spans="6:6" ht="12.75" customHeight="1" x14ac:dyDescent="0.2">
      <c r="F1048556" s="16"/>
    </row>
    <row r="1048557" spans="6:6" ht="12.75" customHeight="1" x14ac:dyDescent="0.2">
      <c r="F1048557" s="16"/>
    </row>
    <row r="1048558" spans="6:6" ht="12.75" customHeight="1" x14ac:dyDescent="0.2">
      <c r="F1048558" s="16"/>
    </row>
    <row r="1048559" spans="6:6" ht="12.75" customHeight="1" x14ac:dyDescent="0.2">
      <c r="F1048559" s="16"/>
    </row>
    <row r="1048560" spans="6:6" ht="12.75" customHeight="1" x14ac:dyDescent="0.2">
      <c r="F1048560" s="16"/>
    </row>
    <row r="1048561" spans="6:6" ht="12.75" customHeight="1" x14ac:dyDescent="0.2">
      <c r="F1048561" s="16"/>
    </row>
    <row r="1048562" spans="6:6" ht="12.75" customHeight="1" x14ac:dyDescent="0.2">
      <c r="F1048562" s="16"/>
    </row>
    <row r="1048563" spans="6:6" ht="12.75" customHeight="1" x14ac:dyDescent="0.2">
      <c r="F1048563" s="16"/>
    </row>
    <row r="1048564" spans="6:6" ht="12.75" customHeight="1" x14ac:dyDescent="0.2">
      <c r="F1048564" s="16"/>
    </row>
  </sheetData>
  <autoFilter ref="A1:G1048564" xr:uid="{00000000-0009-0000-0000-000000000000}">
    <sortState xmlns:xlrd2="http://schemas.microsoft.com/office/spreadsheetml/2017/richdata2" ref="A2:G1048564">
      <sortCondition ref="D1:D1048564"/>
    </sortState>
  </autoFilter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8500"/>
  <sheetViews>
    <sheetView zoomScaleNormal="100" workbookViewId="0">
      <pane ySplit="1" topLeftCell="A2" activePane="bottomLeft" state="frozen"/>
      <selection pane="bottomLeft" activeCell="B29" sqref="B29"/>
    </sheetView>
  </sheetViews>
  <sheetFormatPr baseColWidth="10" defaultColWidth="11.42578125" defaultRowHeight="15" x14ac:dyDescent="0.25"/>
  <cols>
    <col min="1" max="3" width="15.85546875" style="17" customWidth="1"/>
    <col min="4" max="4" width="45" style="18" customWidth="1"/>
    <col min="5" max="5" width="13.42578125" style="19" hidden="1" customWidth="1"/>
    <col min="6" max="7" width="10.140625" style="19" hidden="1" customWidth="1"/>
    <col min="8" max="8" width="13.28515625" style="19" hidden="1" customWidth="1"/>
    <col min="9" max="9" width="11.28515625" style="19" hidden="1" customWidth="1"/>
    <col min="10" max="10" width="16.42578125" style="19" hidden="1" customWidth="1"/>
    <col min="11" max="11" width="15" style="19" hidden="1" customWidth="1"/>
    <col min="12" max="12" width="16" style="19" hidden="1" customWidth="1"/>
    <col min="13" max="13" width="16.140625" style="19" hidden="1" customWidth="1"/>
    <col min="14" max="14" width="10" style="19" hidden="1" customWidth="1"/>
    <col min="15" max="17" width="15.85546875" style="17" customWidth="1"/>
    <col min="18" max="18" width="33.42578125" style="35" customWidth="1"/>
    <col min="19" max="16381" width="11.42578125" style="19"/>
    <col min="16382" max="16384" width="10.140625" style="19" customWidth="1"/>
  </cols>
  <sheetData>
    <row r="1" spans="1:18" s="20" customFormat="1" x14ac:dyDescent="0.25">
      <c r="A1" s="36" t="s">
        <v>235</v>
      </c>
      <c r="B1" s="36" t="s">
        <v>0</v>
      </c>
      <c r="C1" s="36" t="s">
        <v>89</v>
      </c>
      <c r="D1" s="36" t="s">
        <v>90</v>
      </c>
      <c r="E1" s="37">
        <v>45496</v>
      </c>
      <c r="F1" s="37">
        <v>45503</v>
      </c>
      <c r="G1" s="37">
        <v>45510</v>
      </c>
      <c r="H1" s="37">
        <v>45559</v>
      </c>
      <c r="I1" s="37">
        <v>45566</v>
      </c>
      <c r="J1" s="37">
        <v>45629</v>
      </c>
      <c r="K1" s="37">
        <v>45715</v>
      </c>
      <c r="L1" s="37">
        <v>45720</v>
      </c>
      <c r="M1" s="37">
        <v>45867</v>
      </c>
      <c r="N1" s="37">
        <v>45877</v>
      </c>
      <c r="O1" s="37" t="s">
        <v>234</v>
      </c>
      <c r="P1" s="38" t="s">
        <v>3</v>
      </c>
      <c r="Q1" s="39" t="s">
        <v>4</v>
      </c>
      <c r="R1" s="34" t="s">
        <v>225</v>
      </c>
    </row>
    <row r="2" spans="1:18" x14ac:dyDescent="0.25">
      <c r="A2" s="21">
        <v>758152</v>
      </c>
      <c r="B2" s="21"/>
      <c r="C2" s="22">
        <v>80501</v>
      </c>
      <c r="D2" s="23" t="s">
        <v>91</v>
      </c>
      <c r="E2" s="23">
        <v>2</v>
      </c>
      <c r="F2" s="23">
        <v>2</v>
      </c>
      <c r="G2" s="23">
        <v>2</v>
      </c>
      <c r="H2" s="23">
        <v>2</v>
      </c>
      <c r="I2" s="23">
        <v>2</v>
      </c>
      <c r="J2" s="23">
        <v>2</v>
      </c>
      <c r="K2" s="23">
        <v>5</v>
      </c>
      <c r="L2" s="23">
        <v>5</v>
      </c>
      <c r="M2" s="23">
        <v>5</v>
      </c>
      <c r="N2" s="23">
        <v>5</v>
      </c>
      <c r="O2" s="21">
        <v>10</v>
      </c>
      <c r="P2" s="21">
        <v>5</v>
      </c>
      <c r="Q2" s="32">
        <f>+O2-P2</f>
        <v>5</v>
      </c>
      <c r="R2" s="22"/>
    </row>
    <row r="3" spans="1:18" x14ac:dyDescent="0.25">
      <c r="A3" s="21">
        <v>760925</v>
      </c>
      <c r="B3" s="21"/>
      <c r="C3" s="22">
        <v>80101</v>
      </c>
      <c r="D3" s="23" t="s">
        <v>92</v>
      </c>
      <c r="E3" s="23">
        <v>5</v>
      </c>
      <c r="F3" s="23">
        <v>5</v>
      </c>
      <c r="G3" s="23">
        <v>5</v>
      </c>
      <c r="H3" s="23">
        <v>10</v>
      </c>
      <c r="I3" s="23">
        <v>10</v>
      </c>
      <c r="J3" s="23">
        <v>10</v>
      </c>
      <c r="K3" s="23">
        <v>10</v>
      </c>
      <c r="L3" s="23">
        <v>8</v>
      </c>
      <c r="M3" s="23">
        <v>2</v>
      </c>
      <c r="N3" s="23">
        <v>2</v>
      </c>
      <c r="O3" s="21">
        <v>3</v>
      </c>
      <c r="P3" s="21">
        <v>5</v>
      </c>
      <c r="Q3" s="32">
        <f>O3-P3</f>
        <v>-2</v>
      </c>
      <c r="R3" s="22"/>
    </row>
    <row r="4" spans="1:18" x14ac:dyDescent="0.25">
      <c r="A4" s="21">
        <v>758151</v>
      </c>
      <c r="B4" s="21"/>
      <c r="C4" s="22">
        <v>80301</v>
      </c>
      <c r="D4" s="23" t="s">
        <v>93</v>
      </c>
      <c r="E4" s="23">
        <v>10</v>
      </c>
      <c r="F4" s="23">
        <v>10</v>
      </c>
      <c r="G4" s="23">
        <v>10</v>
      </c>
      <c r="H4" s="23">
        <v>2</v>
      </c>
      <c r="I4" s="23">
        <v>8</v>
      </c>
      <c r="J4" s="23">
        <v>0</v>
      </c>
      <c r="K4" s="23">
        <v>5</v>
      </c>
      <c r="L4" s="23">
        <v>5</v>
      </c>
      <c r="M4" s="23">
        <v>4</v>
      </c>
      <c r="N4" s="23">
        <v>2</v>
      </c>
      <c r="O4" s="21">
        <v>0</v>
      </c>
      <c r="P4" s="21">
        <v>5</v>
      </c>
      <c r="Q4" s="32">
        <f t="shared" ref="Q4:Q14" si="0">+O4-P4</f>
        <v>-5</v>
      </c>
      <c r="R4" s="22"/>
    </row>
    <row r="5" spans="1:18" x14ac:dyDescent="0.25">
      <c r="A5" s="21">
        <v>758149</v>
      </c>
      <c r="B5" s="21"/>
      <c r="C5" s="22">
        <v>80201</v>
      </c>
      <c r="D5" s="23" t="s">
        <v>94</v>
      </c>
      <c r="E5" s="23">
        <v>6</v>
      </c>
      <c r="F5" s="23">
        <v>6</v>
      </c>
      <c r="G5" s="23">
        <v>6</v>
      </c>
      <c r="H5" s="23">
        <v>10</v>
      </c>
      <c r="I5" s="23">
        <v>10</v>
      </c>
      <c r="J5" s="23">
        <v>2</v>
      </c>
      <c r="K5" s="23">
        <v>3</v>
      </c>
      <c r="L5" s="23">
        <v>3</v>
      </c>
      <c r="M5" s="23">
        <v>10</v>
      </c>
      <c r="N5" s="23">
        <v>10</v>
      </c>
      <c r="O5" s="21">
        <v>0</v>
      </c>
      <c r="P5" s="21">
        <v>5</v>
      </c>
      <c r="Q5" s="32">
        <f t="shared" si="0"/>
        <v>-5</v>
      </c>
      <c r="R5" s="22"/>
    </row>
    <row r="6" spans="1:18" x14ac:dyDescent="0.25">
      <c r="A6" s="21">
        <v>758150</v>
      </c>
      <c r="B6" s="21"/>
      <c r="C6" s="22">
        <v>80401</v>
      </c>
      <c r="D6" s="23" t="s">
        <v>95</v>
      </c>
      <c r="E6" s="23">
        <v>3</v>
      </c>
      <c r="F6" s="23">
        <v>3</v>
      </c>
      <c r="G6" s="23">
        <v>3</v>
      </c>
      <c r="H6" s="23">
        <v>3</v>
      </c>
      <c r="I6" s="23">
        <v>3</v>
      </c>
      <c r="J6" s="23">
        <v>0</v>
      </c>
      <c r="K6" s="23">
        <v>3</v>
      </c>
      <c r="L6" s="23">
        <v>3</v>
      </c>
      <c r="M6" s="23">
        <v>2</v>
      </c>
      <c r="N6" s="23">
        <v>2</v>
      </c>
      <c r="O6" s="21">
        <v>0</v>
      </c>
      <c r="P6" s="21">
        <v>5</v>
      </c>
      <c r="Q6" s="32">
        <f t="shared" si="0"/>
        <v>-5</v>
      </c>
      <c r="R6" s="22"/>
    </row>
    <row r="7" spans="1:18" x14ac:dyDescent="0.25">
      <c r="A7" s="21">
        <v>39727</v>
      </c>
      <c r="B7" s="21"/>
      <c r="C7" s="21">
        <v>80104</v>
      </c>
      <c r="D7" s="23" t="s">
        <v>96</v>
      </c>
      <c r="E7" s="23">
        <v>1269</v>
      </c>
      <c r="F7" s="23">
        <v>1269</v>
      </c>
      <c r="G7" s="23">
        <v>1269</v>
      </c>
      <c r="H7" s="23">
        <v>1253</v>
      </c>
      <c r="I7" s="23">
        <v>1253</v>
      </c>
      <c r="J7" s="23">
        <v>1103</v>
      </c>
      <c r="K7" s="23">
        <v>1103</v>
      </c>
      <c r="L7" s="23">
        <v>1087</v>
      </c>
      <c r="M7" s="23">
        <v>904</v>
      </c>
      <c r="N7" s="23">
        <v>904</v>
      </c>
      <c r="O7" s="21">
        <v>210</v>
      </c>
      <c r="P7" s="21">
        <v>300</v>
      </c>
      <c r="Q7" s="32">
        <f t="shared" si="0"/>
        <v>-90</v>
      </c>
      <c r="R7" s="22"/>
    </row>
    <row r="8" spans="1:18" x14ac:dyDescent="0.25">
      <c r="A8" s="21">
        <v>39776</v>
      </c>
      <c r="B8" s="21"/>
      <c r="C8" s="21">
        <v>80204</v>
      </c>
      <c r="D8" s="23" t="s">
        <v>97</v>
      </c>
      <c r="E8" s="23">
        <v>100</v>
      </c>
      <c r="F8" s="23">
        <v>100</v>
      </c>
      <c r="G8" s="23">
        <v>100</v>
      </c>
      <c r="H8" s="23">
        <v>150</v>
      </c>
      <c r="I8" s="23">
        <v>150</v>
      </c>
      <c r="J8" s="23">
        <v>150</v>
      </c>
      <c r="K8" s="23">
        <v>108</v>
      </c>
      <c r="L8" s="23">
        <v>108</v>
      </c>
      <c r="M8" s="23">
        <v>201</v>
      </c>
      <c r="N8" s="23">
        <v>201</v>
      </c>
      <c r="O8" s="21">
        <v>95</v>
      </c>
      <c r="P8" s="21">
        <v>100</v>
      </c>
      <c r="Q8" s="32">
        <f t="shared" si="0"/>
        <v>-5</v>
      </c>
      <c r="R8" s="22"/>
    </row>
    <row r="9" spans="1:18" x14ac:dyDescent="0.25">
      <c r="A9" s="21">
        <v>553347</v>
      </c>
      <c r="B9" s="21"/>
      <c r="C9" s="21">
        <v>80204</v>
      </c>
      <c r="D9" s="23" t="s">
        <v>98</v>
      </c>
      <c r="E9" s="23">
        <v>118</v>
      </c>
      <c r="F9" s="23">
        <v>118</v>
      </c>
      <c r="G9" s="23">
        <v>118</v>
      </c>
      <c r="H9" s="23">
        <v>118</v>
      </c>
      <c r="I9" s="23">
        <v>438</v>
      </c>
      <c r="J9" s="23">
        <v>438</v>
      </c>
      <c r="K9" s="23">
        <v>113</v>
      </c>
      <c r="L9" s="23">
        <v>113</v>
      </c>
      <c r="M9" s="23">
        <v>100</v>
      </c>
      <c r="N9" s="23">
        <v>100</v>
      </c>
      <c r="O9" s="21">
        <v>50</v>
      </c>
      <c r="P9" s="21">
        <v>50</v>
      </c>
      <c r="Q9" s="32">
        <f t="shared" si="0"/>
        <v>0</v>
      </c>
      <c r="R9" s="22"/>
    </row>
    <row r="10" spans="1:18" x14ac:dyDescent="0.25">
      <c r="A10" s="21">
        <v>39685</v>
      </c>
      <c r="B10" s="21"/>
      <c r="C10" s="21">
        <v>80104</v>
      </c>
      <c r="D10" s="23" t="s">
        <v>99</v>
      </c>
      <c r="E10" s="23">
        <v>191</v>
      </c>
      <c r="F10" s="23">
        <v>191</v>
      </c>
      <c r="G10" s="23">
        <v>191</v>
      </c>
      <c r="H10" s="23">
        <v>185</v>
      </c>
      <c r="I10" s="23">
        <v>185</v>
      </c>
      <c r="J10" s="23">
        <v>272</v>
      </c>
      <c r="K10" s="23">
        <v>153</v>
      </c>
      <c r="L10" s="23">
        <v>153</v>
      </c>
      <c r="M10" s="23">
        <v>153</v>
      </c>
      <c r="N10" s="23">
        <v>153</v>
      </c>
      <c r="O10" s="21">
        <v>100</v>
      </c>
      <c r="P10" s="21">
        <v>100</v>
      </c>
      <c r="Q10" s="32">
        <f t="shared" si="0"/>
        <v>0</v>
      </c>
      <c r="R10" s="22"/>
    </row>
    <row r="11" spans="1:18" x14ac:dyDescent="0.25">
      <c r="A11" s="21">
        <v>39750</v>
      </c>
      <c r="B11" s="21"/>
      <c r="C11" s="21">
        <v>80204</v>
      </c>
      <c r="D11" s="23" t="s">
        <v>100</v>
      </c>
      <c r="E11" s="23">
        <v>300</v>
      </c>
      <c r="F11" s="23">
        <v>300</v>
      </c>
      <c r="G11" s="23">
        <v>300</v>
      </c>
      <c r="H11" s="23">
        <v>300</v>
      </c>
      <c r="I11" s="23">
        <v>260</v>
      </c>
      <c r="J11" s="23">
        <v>118</v>
      </c>
      <c r="K11" s="23">
        <v>614</v>
      </c>
      <c r="L11" s="23">
        <v>614</v>
      </c>
      <c r="M11" s="23">
        <v>320</v>
      </c>
      <c r="N11" s="23">
        <v>200</v>
      </c>
      <c r="O11" s="21">
        <v>40</v>
      </c>
      <c r="P11" s="21">
        <v>300</v>
      </c>
      <c r="Q11" s="32">
        <f t="shared" si="0"/>
        <v>-260</v>
      </c>
      <c r="R11" s="22"/>
    </row>
    <row r="12" spans="1:18" x14ac:dyDescent="0.25">
      <c r="A12" s="21">
        <v>553412</v>
      </c>
      <c r="B12" s="21"/>
      <c r="C12" s="21">
        <v>80104</v>
      </c>
      <c r="D12" s="23" t="s">
        <v>101</v>
      </c>
      <c r="E12" s="23">
        <v>105</v>
      </c>
      <c r="F12" s="23">
        <v>105</v>
      </c>
      <c r="G12" s="23">
        <v>105</v>
      </c>
      <c r="H12" s="23">
        <v>117</v>
      </c>
      <c r="I12" s="23">
        <v>117</v>
      </c>
      <c r="J12" s="23">
        <v>432</v>
      </c>
      <c r="K12" s="23">
        <v>174</v>
      </c>
      <c r="L12" s="23">
        <v>174</v>
      </c>
      <c r="M12" s="23">
        <v>100</v>
      </c>
      <c r="N12" s="23">
        <v>100</v>
      </c>
      <c r="O12" s="21">
        <v>300</v>
      </c>
      <c r="P12" s="21">
        <v>500</v>
      </c>
      <c r="Q12" s="32">
        <f t="shared" si="0"/>
        <v>-200</v>
      </c>
      <c r="R12" s="22"/>
    </row>
    <row r="13" spans="1:18" x14ac:dyDescent="0.25">
      <c r="A13" s="21">
        <v>39743</v>
      </c>
      <c r="B13" s="21"/>
      <c r="C13" s="21">
        <v>80104</v>
      </c>
      <c r="D13" s="23" t="s">
        <v>102</v>
      </c>
      <c r="E13" s="23">
        <v>199</v>
      </c>
      <c r="F13" s="23">
        <v>121</v>
      </c>
      <c r="G13" s="23">
        <v>221</v>
      </c>
      <c r="H13" s="23">
        <v>272</v>
      </c>
      <c r="I13" s="23">
        <v>281</v>
      </c>
      <c r="J13" s="23">
        <v>320</v>
      </c>
      <c r="K13" s="23">
        <v>0</v>
      </c>
      <c r="L13" s="23">
        <v>347</v>
      </c>
      <c r="M13" s="23">
        <v>200</v>
      </c>
      <c r="N13" s="23">
        <v>164</v>
      </c>
      <c r="O13" s="21">
        <v>58</v>
      </c>
      <c r="P13" s="21">
        <v>300</v>
      </c>
      <c r="Q13" s="32">
        <f t="shared" si="0"/>
        <v>-242</v>
      </c>
      <c r="R13" s="22"/>
    </row>
    <row r="14" spans="1:18" ht="15" customHeight="1" x14ac:dyDescent="0.25">
      <c r="A14" s="21">
        <v>553172</v>
      </c>
      <c r="B14" s="21"/>
      <c r="C14" s="21">
        <v>80204</v>
      </c>
      <c r="D14" s="23" t="s">
        <v>103</v>
      </c>
      <c r="E14" s="23">
        <v>206</v>
      </c>
      <c r="F14" s="23">
        <v>206</v>
      </c>
      <c r="G14" s="23">
        <v>206</v>
      </c>
      <c r="H14" s="23">
        <v>253</v>
      </c>
      <c r="I14" s="23">
        <v>403</v>
      </c>
      <c r="J14" s="23">
        <v>300</v>
      </c>
      <c r="K14" s="23">
        <v>262</v>
      </c>
      <c r="L14" s="23">
        <v>254</v>
      </c>
      <c r="M14" s="23">
        <v>250</v>
      </c>
      <c r="N14" s="23">
        <v>250</v>
      </c>
      <c r="O14" s="21">
        <v>95</v>
      </c>
      <c r="P14" s="21">
        <v>240</v>
      </c>
      <c r="Q14" s="32">
        <f t="shared" si="0"/>
        <v>-145</v>
      </c>
      <c r="R14" s="22"/>
    </row>
    <row r="15" spans="1:18" ht="15" customHeight="1" x14ac:dyDescent="0.25">
      <c r="A15" s="21">
        <v>553396</v>
      </c>
      <c r="B15" s="21"/>
      <c r="C15" s="21">
        <v>81003</v>
      </c>
      <c r="D15" s="23" t="s">
        <v>104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1">
        <v>200</v>
      </c>
      <c r="P15" s="21">
        <v>200</v>
      </c>
      <c r="Q15" s="32">
        <f>O15-P15</f>
        <v>0</v>
      </c>
      <c r="R15" s="22"/>
    </row>
    <row r="16" spans="1:18" ht="15" customHeight="1" x14ac:dyDescent="0.25">
      <c r="A16" s="21">
        <v>56770</v>
      </c>
      <c r="B16" s="21"/>
      <c r="C16" s="21">
        <v>81003</v>
      </c>
      <c r="D16" s="23" t="s">
        <v>105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1">
        <v>200</v>
      </c>
      <c r="P16" s="21">
        <v>200</v>
      </c>
      <c r="Q16" s="32">
        <f>O16-P16</f>
        <v>0</v>
      </c>
      <c r="R16" s="22"/>
    </row>
    <row r="17" spans="1:18" ht="15" customHeight="1" x14ac:dyDescent="0.25">
      <c r="A17" s="21">
        <v>359505</v>
      </c>
      <c r="B17" s="21"/>
      <c r="C17" s="21">
        <v>81003</v>
      </c>
      <c r="D17" s="23" t="s">
        <v>106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1">
        <v>200</v>
      </c>
      <c r="P17" s="21">
        <v>200</v>
      </c>
      <c r="Q17" s="32">
        <f>O17-P17</f>
        <v>0</v>
      </c>
      <c r="R17" s="22"/>
    </row>
    <row r="18" spans="1:18" x14ac:dyDescent="0.25">
      <c r="A18" s="21">
        <v>597450</v>
      </c>
      <c r="B18" s="21"/>
      <c r="C18" s="21">
        <v>80105</v>
      </c>
      <c r="D18" s="23" t="s">
        <v>107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1">
        <v>200</v>
      </c>
      <c r="P18" s="21">
        <v>200</v>
      </c>
      <c r="Q18" s="32">
        <f>O18-P18</f>
        <v>0</v>
      </c>
      <c r="R18" s="22"/>
    </row>
    <row r="19" spans="1:18" x14ac:dyDescent="0.25">
      <c r="A19" s="21">
        <v>39776</v>
      </c>
      <c r="B19" s="21"/>
      <c r="C19" s="21">
        <v>80205</v>
      </c>
      <c r="D19" s="23" t="s">
        <v>108</v>
      </c>
      <c r="E19" s="23">
        <v>442</v>
      </c>
      <c r="F19" s="23">
        <v>458</v>
      </c>
      <c r="G19" s="23">
        <v>458</v>
      </c>
      <c r="H19" s="23">
        <v>458</v>
      </c>
      <c r="I19" s="23">
        <v>457</v>
      </c>
      <c r="J19" s="23">
        <v>395</v>
      </c>
      <c r="K19" s="23">
        <v>387</v>
      </c>
      <c r="L19" s="23">
        <v>387</v>
      </c>
      <c r="M19" s="23">
        <v>200</v>
      </c>
      <c r="N19" s="23">
        <v>200</v>
      </c>
      <c r="O19" s="21">
        <v>120</v>
      </c>
      <c r="P19" s="21">
        <v>20</v>
      </c>
      <c r="Q19" s="32">
        <f t="shared" ref="Q19:Q24" si="1">+O19-P19</f>
        <v>100</v>
      </c>
      <c r="R19" s="22"/>
    </row>
    <row r="20" spans="1:18" x14ac:dyDescent="0.25">
      <c r="A20" s="21">
        <v>110759</v>
      </c>
      <c r="B20" s="21"/>
      <c r="C20" s="21">
        <v>80105</v>
      </c>
      <c r="D20" s="23" t="s">
        <v>109</v>
      </c>
      <c r="E20" s="23">
        <v>392</v>
      </c>
      <c r="F20" s="23">
        <v>392</v>
      </c>
      <c r="G20" s="23">
        <v>392</v>
      </c>
      <c r="H20" s="23">
        <v>98</v>
      </c>
      <c r="I20" s="23">
        <v>392</v>
      </c>
      <c r="J20" s="23">
        <v>95</v>
      </c>
      <c r="K20" s="23">
        <v>0</v>
      </c>
      <c r="L20" s="23">
        <v>540</v>
      </c>
      <c r="M20" s="23">
        <v>386</v>
      </c>
      <c r="N20" s="23">
        <v>378</v>
      </c>
      <c r="O20" s="21">
        <v>240</v>
      </c>
      <c r="P20" s="21">
        <v>400</v>
      </c>
      <c r="Q20" s="32">
        <f t="shared" si="1"/>
        <v>-160</v>
      </c>
      <c r="R20" s="22"/>
    </row>
    <row r="21" spans="1:18" x14ac:dyDescent="0.25">
      <c r="A21" s="21">
        <v>110775</v>
      </c>
      <c r="B21" s="21"/>
      <c r="C21" s="21">
        <v>80205</v>
      </c>
      <c r="D21" s="23" t="s">
        <v>110</v>
      </c>
      <c r="E21" s="23">
        <v>261</v>
      </c>
      <c r="F21" s="23">
        <v>183</v>
      </c>
      <c r="G21" s="23">
        <v>233</v>
      </c>
      <c r="H21" s="23">
        <v>220</v>
      </c>
      <c r="I21" s="23">
        <v>19</v>
      </c>
      <c r="J21" s="23">
        <v>198</v>
      </c>
      <c r="K21" s="23">
        <v>336</v>
      </c>
      <c r="L21" s="23">
        <v>306</v>
      </c>
      <c r="M21" s="23">
        <v>233</v>
      </c>
      <c r="N21" s="23">
        <v>40</v>
      </c>
      <c r="O21" s="21">
        <v>0</v>
      </c>
      <c r="P21" s="21">
        <v>300</v>
      </c>
      <c r="Q21" s="32">
        <f t="shared" si="1"/>
        <v>-300</v>
      </c>
      <c r="R21" s="22"/>
    </row>
    <row r="22" spans="1:18" x14ac:dyDescent="0.25">
      <c r="A22" s="21">
        <v>11684</v>
      </c>
      <c r="B22" s="21"/>
      <c r="C22" s="21">
        <v>80105</v>
      </c>
      <c r="D22" s="23" t="s">
        <v>111</v>
      </c>
      <c r="E22" s="23">
        <v>500</v>
      </c>
      <c r="F22" s="23">
        <v>500</v>
      </c>
      <c r="G22" s="23">
        <v>500</v>
      </c>
      <c r="H22" s="23">
        <v>467</v>
      </c>
      <c r="I22" s="23">
        <v>467</v>
      </c>
      <c r="J22" s="23">
        <v>432</v>
      </c>
      <c r="K22" s="23">
        <v>368</v>
      </c>
      <c r="L22" s="23">
        <v>368</v>
      </c>
      <c r="M22" s="23">
        <v>351</v>
      </c>
      <c r="N22" s="23">
        <v>351</v>
      </c>
      <c r="O22" s="21">
        <v>400</v>
      </c>
      <c r="P22" s="21">
        <v>400</v>
      </c>
      <c r="Q22" s="32">
        <f t="shared" si="1"/>
        <v>0</v>
      </c>
      <c r="R22" s="22"/>
    </row>
    <row r="23" spans="1:18" x14ac:dyDescent="0.25">
      <c r="A23" s="21">
        <v>553180</v>
      </c>
      <c r="B23" s="21"/>
      <c r="C23" s="21">
        <v>80205</v>
      </c>
      <c r="D23" s="23" t="s">
        <v>112</v>
      </c>
      <c r="E23" s="23">
        <v>300</v>
      </c>
      <c r="F23" s="23">
        <v>300</v>
      </c>
      <c r="G23" s="23">
        <v>300</v>
      </c>
      <c r="H23" s="23">
        <v>257</v>
      </c>
      <c r="I23" s="23">
        <v>261</v>
      </c>
      <c r="J23" s="23">
        <v>329</v>
      </c>
      <c r="K23" s="23">
        <v>231</v>
      </c>
      <c r="L23" s="23">
        <v>311</v>
      </c>
      <c r="M23" s="23">
        <v>200</v>
      </c>
      <c r="N23" s="23">
        <v>200</v>
      </c>
      <c r="O23" s="21">
        <v>240</v>
      </c>
      <c r="P23" s="21">
        <v>240</v>
      </c>
      <c r="Q23" s="32">
        <f t="shared" si="1"/>
        <v>0</v>
      </c>
      <c r="R23" s="22"/>
    </row>
    <row r="24" spans="1:18" x14ac:dyDescent="0.25">
      <c r="A24" s="21">
        <v>596239</v>
      </c>
      <c r="B24" s="21"/>
      <c r="C24" s="21">
        <v>80203</v>
      </c>
      <c r="D24" s="23" t="s">
        <v>113</v>
      </c>
      <c r="E24" s="23">
        <v>475</v>
      </c>
      <c r="F24" s="23">
        <v>475</v>
      </c>
      <c r="G24" s="23">
        <v>475</v>
      </c>
      <c r="H24" s="23">
        <v>475</v>
      </c>
      <c r="I24" s="23">
        <v>247</v>
      </c>
      <c r="J24" s="23">
        <v>247</v>
      </c>
      <c r="K24" s="23">
        <v>247</v>
      </c>
      <c r="L24" s="23">
        <v>247</v>
      </c>
      <c r="M24" s="23">
        <v>200</v>
      </c>
      <c r="N24" s="23">
        <v>200</v>
      </c>
      <c r="O24" s="21">
        <v>150</v>
      </c>
      <c r="P24" s="21">
        <v>150</v>
      </c>
      <c r="Q24" s="32">
        <f t="shared" si="1"/>
        <v>0</v>
      </c>
      <c r="R24" s="22"/>
    </row>
    <row r="25" spans="1:18" x14ac:dyDescent="0.25">
      <c r="A25" s="21">
        <v>553222</v>
      </c>
      <c r="B25" s="21"/>
      <c r="C25" s="21">
        <v>80203</v>
      </c>
      <c r="D25" s="23" t="s">
        <v>114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1">
        <v>50</v>
      </c>
      <c r="P25" s="21">
        <v>50</v>
      </c>
      <c r="Q25" s="32">
        <f>O25-P25</f>
        <v>0</v>
      </c>
      <c r="R25" s="22"/>
    </row>
    <row r="26" spans="1:18" x14ac:dyDescent="0.25">
      <c r="A26" s="21">
        <v>8433</v>
      </c>
      <c r="B26" s="21"/>
      <c r="C26" s="21">
        <v>80103</v>
      </c>
      <c r="D26" s="24" t="s">
        <v>115</v>
      </c>
      <c r="E26" s="23">
        <v>678</v>
      </c>
      <c r="F26" s="23">
        <v>678</v>
      </c>
      <c r="G26" s="23">
        <v>678</v>
      </c>
      <c r="H26" s="23">
        <v>678</v>
      </c>
      <c r="I26" s="23">
        <v>678</v>
      </c>
      <c r="J26" s="23">
        <v>297</v>
      </c>
      <c r="K26" s="23">
        <v>678</v>
      </c>
      <c r="L26" s="23">
        <v>678</v>
      </c>
      <c r="M26" s="23">
        <v>300</v>
      </c>
      <c r="N26" s="23">
        <v>300</v>
      </c>
      <c r="O26" s="21">
        <v>125</v>
      </c>
      <c r="P26" s="21">
        <v>200</v>
      </c>
      <c r="Q26" s="32">
        <f t="shared" ref="Q26:Q33" si="2">+O26-P26</f>
        <v>-75</v>
      </c>
      <c r="R26" s="22"/>
    </row>
    <row r="27" spans="1:18" x14ac:dyDescent="0.25">
      <c r="A27" s="21">
        <v>551453</v>
      </c>
      <c r="B27" s="21"/>
      <c r="C27" s="21">
        <v>80103</v>
      </c>
      <c r="D27" s="23" t="s">
        <v>116</v>
      </c>
      <c r="E27" s="23">
        <v>67</v>
      </c>
      <c r="F27" s="23">
        <v>67</v>
      </c>
      <c r="G27" s="23">
        <v>67</v>
      </c>
      <c r="H27" s="23">
        <v>67</v>
      </c>
      <c r="I27" s="23">
        <v>67</v>
      </c>
      <c r="J27" s="23">
        <v>50</v>
      </c>
      <c r="K27" s="23">
        <v>51</v>
      </c>
      <c r="L27" s="23">
        <v>51</v>
      </c>
      <c r="M27" s="23">
        <v>51</v>
      </c>
      <c r="N27" s="23">
        <v>51</v>
      </c>
      <c r="O27" s="21">
        <v>100</v>
      </c>
      <c r="P27" s="21">
        <v>100</v>
      </c>
      <c r="Q27" s="32">
        <f t="shared" si="2"/>
        <v>0</v>
      </c>
      <c r="R27" s="22"/>
    </row>
    <row r="28" spans="1:18" x14ac:dyDescent="0.25">
      <c r="A28" s="21">
        <v>39644</v>
      </c>
      <c r="B28" s="21"/>
      <c r="C28" s="21">
        <v>80203</v>
      </c>
      <c r="D28" s="23" t="s">
        <v>117</v>
      </c>
      <c r="E28" s="23">
        <v>155</v>
      </c>
      <c r="F28" s="23">
        <v>155</v>
      </c>
      <c r="G28" s="23">
        <v>155</v>
      </c>
      <c r="H28" s="23">
        <v>154</v>
      </c>
      <c r="I28" s="23">
        <v>153</v>
      </c>
      <c r="J28" s="23">
        <v>153</v>
      </c>
      <c r="K28" s="23">
        <v>154</v>
      </c>
      <c r="L28" s="23">
        <v>154</v>
      </c>
      <c r="M28" s="23">
        <v>116</v>
      </c>
      <c r="N28" s="23">
        <v>116</v>
      </c>
      <c r="O28" s="21">
        <v>95</v>
      </c>
      <c r="P28" s="21">
        <v>150</v>
      </c>
      <c r="Q28" s="32">
        <f t="shared" si="2"/>
        <v>-55</v>
      </c>
      <c r="R28" s="22"/>
    </row>
    <row r="29" spans="1:18" x14ac:dyDescent="0.25">
      <c r="A29" s="21">
        <v>344283</v>
      </c>
      <c r="B29" s="21"/>
      <c r="C29" s="21">
        <v>80103</v>
      </c>
      <c r="D29" s="23" t="s">
        <v>118</v>
      </c>
      <c r="E29" s="23">
        <v>179</v>
      </c>
      <c r="F29" s="23">
        <v>179</v>
      </c>
      <c r="G29" s="23">
        <v>179</v>
      </c>
      <c r="H29" s="23">
        <v>178</v>
      </c>
      <c r="I29" s="23">
        <v>178</v>
      </c>
      <c r="J29" s="23">
        <v>100</v>
      </c>
      <c r="K29" s="23">
        <v>100</v>
      </c>
      <c r="L29" s="23">
        <v>100</v>
      </c>
      <c r="M29" s="23">
        <v>100</v>
      </c>
      <c r="N29" s="23">
        <v>100</v>
      </c>
      <c r="O29" s="21">
        <v>100</v>
      </c>
      <c r="P29" s="21">
        <v>100</v>
      </c>
      <c r="Q29" s="32">
        <f t="shared" si="2"/>
        <v>0</v>
      </c>
      <c r="R29" s="22"/>
    </row>
    <row r="30" spans="1:18" x14ac:dyDescent="0.25">
      <c r="A30" s="21">
        <v>553248</v>
      </c>
      <c r="B30" s="21"/>
      <c r="C30" s="21">
        <v>80103</v>
      </c>
      <c r="D30" s="23" t="s">
        <v>119</v>
      </c>
      <c r="E30" s="23">
        <v>359</v>
      </c>
      <c r="F30" s="23">
        <v>359</v>
      </c>
      <c r="G30" s="23">
        <v>359</v>
      </c>
      <c r="H30" s="23">
        <v>202</v>
      </c>
      <c r="I30" s="23">
        <v>303</v>
      </c>
      <c r="J30" s="23">
        <v>284</v>
      </c>
      <c r="K30" s="23">
        <v>273</v>
      </c>
      <c r="L30" s="23">
        <v>223</v>
      </c>
      <c r="M30" s="23">
        <v>200</v>
      </c>
      <c r="N30" s="23">
        <v>200</v>
      </c>
      <c r="O30" s="21">
        <v>97</v>
      </c>
      <c r="P30" s="21">
        <v>150</v>
      </c>
      <c r="Q30" s="32">
        <f t="shared" si="2"/>
        <v>-53</v>
      </c>
      <c r="R30" s="22"/>
    </row>
    <row r="31" spans="1:18" x14ac:dyDescent="0.25">
      <c r="A31" s="21">
        <v>553271</v>
      </c>
      <c r="B31" s="21"/>
      <c r="C31" s="21">
        <v>80203</v>
      </c>
      <c r="D31" s="23" t="s">
        <v>120</v>
      </c>
      <c r="E31" s="23">
        <v>229</v>
      </c>
      <c r="F31" s="23">
        <v>229</v>
      </c>
      <c r="G31" s="23">
        <v>229</v>
      </c>
      <c r="H31" s="23">
        <v>283</v>
      </c>
      <c r="I31" s="23">
        <v>283</v>
      </c>
      <c r="J31" s="23">
        <v>283</v>
      </c>
      <c r="K31" s="23">
        <v>202</v>
      </c>
      <c r="L31" s="23">
        <v>202</v>
      </c>
      <c r="M31" s="23">
        <v>250</v>
      </c>
      <c r="N31" s="23">
        <v>250</v>
      </c>
      <c r="O31" s="21">
        <v>96</v>
      </c>
      <c r="P31" s="21">
        <v>120</v>
      </c>
      <c r="Q31" s="32">
        <f t="shared" si="2"/>
        <v>-24</v>
      </c>
      <c r="R31" s="22"/>
    </row>
    <row r="32" spans="1:18" x14ac:dyDescent="0.25">
      <c r="A32" s="21">
        <v>555045</v>
      </c>
      <c r="B32" s="21"/>
      <c r="C32" s="22">
        <v>81503</v>
      </c>
      <c r="D32" s="23" t="s">
        <v>233</v>
      </c>
      <c r="E32" s="25"/>
      <c r="F32" s="25"/>
      <c r="G32" s="25"/>
      <c r="H32" s="23">
        <v>0</v>
      </c>
      <c r="I32" s="23">
        <v>110</v>
      </c>
      <c r="J32" s="23">
        <v>110</v>
      </c>
      <c r="K32" s="23">
        <v>110</v>
      </c>
      <c r="L32" s="23">
        <v>110</v>
      </c>
      <c r="M32" s="23">
        <v>110</v>
      </c>
      <c r="N32" s="23">
        <v>110</v>
      </c>
      <c r="O32" s="21">
        <v>110</v>
      </c>
      <c r="P32" s="21">
        <v>50</v>
      </c>
      <c r="Q32" s="32">
        <f t="shared" si="2"/>
        <v>60</v>
      </c>
      <c r="R32" s="22"/>
    </row>
    <row r="33" spans="1:18" x14ac:dyDescent="0.25">
      <c r="A33" s="21">
        <v>58222</v>
      </c>
      <c r="B33" s="21"/>
      <c r="C33" s="21">
        <v>81503</v>
      </c>
      <c r="D33" s="23" t="s">
        <v>121</v>
      </c>
      <c r="E33" s="23">
        <v>11</v>
      </c>
      <c r="F33" s="23">
        <v>11</v>
      </c>
      <c r="G33" s="23">
        <v>11</v>
      </c>
      <c r="H33" s="23">
        <v>101</v>
      </c>
      <c r="I33" s="23">
        <v>140</v>
      </c>
      <c r="J33" s="23">
        <v>140</v>
      </c>
      <c r="K33" s="23">
        <v>140</v>
      </c>
      <c r="L33" s="23">
        <v>140</v>
      </c>
      <c r="M33" s="23">
        <v>139</v>
      </c>
      <c r="N33" s="23">
        <v>139</v>
      </c>
      <c r="O33" s="21">
        <v>0</v>
      </c>
      <c r="P33" s="21">
        <v>50</v>
      </c>
      <c r="Q33" s="32">
        <f t="shared" si="2"/>
        <v>-50</v>
      </c>
      <c r="R33" s="22"/>
    </row>
    <row r="34" spans="1:18" x14ac:dyDescent="0.25">
      <c r="A34" s="21">
        <v>151134</v>
      </c>
      <c r="B34" s="21"/>
      <c r="C34" s="22">
        <v>81202</v>
      </c>
      <c r="D34" s="23" t="s">
        <v>196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1">
        <v>0</v>
      </c>
      <c r="P34" s="21">
        <v>50</v>
      </c>
      <c r="Q34" s="32">
        <f>O34-P34</f>
        <v>-50</v>
      </c>
      <c r="R34" s="22"/>
    </row>
    <row r="35" spans="1:18" x14ac:dyDescent="0.25">
      <c r="A35" s="21">
        <v>359539</v>
      </c>
      <c r="B35" s="21"/>
      <c r="C35" s="22">
        <v>81202</v>
      </c>
      <c r="D35" s="23" t="s">
        <v>122</v>
      </c>
      <c r="E35" s="23">
        <v>98</v>
      </c>
      <c r="F35" s="23">
        <v>98</v>
      </c>
      <c r="G35" s="23">
        <v>98</v>
      </c>
      <c r="H35" s="23">
        <v>98</v>
      </c>
      <c r="I35" s="23">
        <v>102</v>
      </c>
      <c r="J35" s="23">
        <v>57</v>
      </c>
      <c r="K35" s="23">
        <v>97</v>
      </c>
      <c r="L35" s="23">
        <v>97</v>
      </c>
      <c r="M35" s="23">
        <v>97</v>
      </c>
      <c r="N35" s="23">
        <v>97</v>
      </c>
      <c r="O35" s="21">
        <v>20</v>
      </c>
      <c r="P35" s="21">
        <v>20</v>
      </c>
      <c r="Q35" s="32">
        <f>+O35-P35</f>
        <v>0</v>
      </c>
      <c r="R35" s="22"/>
    </row>
    <row r="36" spans="1:18" x14ac:dyDescent="0.25">
      <c r="A36" s="21">
        <v>81202</v>
      </c>
      <c r="B36" s="21"/>
      <c r="C36" s="22">
        <v>81202</v>
      </c>
      <c r="D36" s="23" t="s">
        <v>199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1">
        <v>0</v>
      </c>
      <c r="P36" s="21">
        <v>50</v>
      </c>
      <c r="Q36" s="32">
        <f>O36-P36</f>
        <v>-50</v>
      </c>
      <c r="R36" s="22"/>
    </row>
    <row r="37" spans="1:18" x14ac:dyDescent="0.25">
      <c r="A37" s="21">
        <v>554139</v>
      </c>
      <c r="B37" s="21"/>
      <c r="C37" s="21">
        <v>80601</v>
      </c>
      <c r="D37" s="23" t="s">
        <v>123</v>
      </c>
      <c r="E37" s="23">
        <v>60</v>
      </c>
      <c r="F37" s="23">
        <v>60</v>
      </c>
      <c r="G37" s="23">
        <v>60</v>
      </c>
      <c r="H37" s="23">
        <v>60</v>
      </c>
      <c r="I37" s="23">
        <v>60</v>
      </c>
      <c r="J37" s="23">
        <v>60</v>
      </c>
      <c r="K37" s="23">
        <v>60</v>
      </c>
      <c r="L37" s="23">
        <v>60</v>
      </c>
      <c r="M37" s="23">
        <v>60</v>
      </c>
      <c r="N37" s="23">
        <v>60</v>
      </c>
      <c r="O37" s="21">
        <v>50</v>
      </c>
      <c r="P37" s="21">
        <v>50</v>
      </c>
      <c r="Q37" s="32">
        <f>+O37-P37</f>
        <v>0</v>
      </c>
      <c r="R37" s="22"/>
    </row>
    <row r="38" spans="1:18" x14ac:dyDescent="0.25">
      <c r="A38" s="21">
        <v>108936</v>
      </c>
      <c r="B38" s="21"/>
      <c r="C38" s="21">
        <v>80601</v>
      </c>
      <c r="D38" s="23" t="s">
        <v>124</v>
      </c>
      <c r="E38" s="23">
        <v>100</v>
      </c>
      <c r="F38" s="23">
        <v>100</v>
      </c>
      <c r="G38" s="23">
        <v>100</v>
      </c>
      <c r="H38" s="23">
        <v>100</v>
      </c>
      <c r="I38" s="23">
        <v>100</v>
      </c>
      <c r="J38" s="23">
        <v>100</v>
      </c>
      <c r="K38" s="23">
        <v>100</v>
      </c>
      <c r="L38" s="23">
        <v>100</v>
      </c>
      <c r="M38" s="23">
        <v>100</v>
      </c>
      <c r="N38" s="23">
        <v>100</v>
      </c>
      <c r="O38" s="21">
        <v>45</v>
      </c>
      <c r="P38" s="21">
        <v>50</v>
      </c>
      <c r="Q38" s="32">
        <f>+O38-P38</f>
        <v>-5</v>
      </c>
      <c r="R38" s="22"/>
    </row>
    <row r="39" spans="1:18" x14ac:dyDescent="0.25">
      <c r="A39" s="21">
        <v>554147</v>
      </c>
      <c r="B39" s="21"/>
      <c r="C39" s="21">
        <v>80601</v>
      </c>
      <c r="D39" s="23" t="s">
        <v>125</v>
      </c>
      <c r="E39" s="23">
        <v>54</v>
      </c>
      <c r="F39" s="23">
        <v>54</v>
      </c>
      <c r="G39" s="23">
        <v>64</v>
      </c>
      <c r="H39" s="23">
        <v>64</v>
      </c>
      <c r="I39" s="23">
        <v>64</v>
      </c>
      <c r="J39" s="23">
        <v>64</v>
      </c>
      <c r="K39" s="23">
        <v>60</v>
      </c>
      <c r="L39" s="23">
        <v>64</v>
      </c>
      <c r="M39" s="23">
        <v>54</v>
      </c>
      <c r="N39" s="23">
        <v>54</v>
      </c>
      <c r="O39" s="21">
        <v>30</v>
      </c>
      <c r="P39" s="21">
        <v>50</v>
      </c>
      <c r="Q39" s="32">
        <f>+O39-P39</f>
        <v>-20</v>
      </c>
      <c r="R39" s="22"/>
    </row>
    <row r="40" spans="1:18" x14ac:dyDescent="0.25">
      <c r="A40" s="21">
        <v>108951</v>
      </c>
      <c r="B40" s="21"/>
      <c r="C40" s="21">
        <v>80701</v>
      </c>
      <c r="D40" s="23" t="s">
        <v>126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1">
        <v>20</v>
      </c>
      <c r="P40" s="21">
        <v>20</v>
      </c>
      <c r="Q40" s="32">
        <f>O40-P40</f>
        <v>0</v>
      </c>
      <c r="R40" s="22"/>
    </row>
    <row r="41" spans="1:18" x14ac:dyDescent="0.25">
      <c r="A41" s="21">
        <v>8391</v>
      </c>
      <c r="B41" s="21"/>
      <c r="C41" s="21">
        <v>80701</v>
      </c>
      <c r="D41" s="23" t="s">
        <v>127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1">
        <v>0</v>
      </c>
      <c r="P41" s="21">
        <v>20</v>
      </c>
      <c r="Q41" s="32">
        <f>O41-P41</f>
        <v>-20</v>
      </c>
      <c r="R41" s="22"/>
    </row>
    <row r="42" spans="1:18" x14ac:dyDescent="0.25">
      <c r="A42" s="21">
        <v>554154</v>
      </c>
      <c r="B42" s="21"/>
      <c r="C42" s="21">
        <v>80701</v>
      </c>
      <c r="D42" s="23" t="s">
        <v>128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1">
        <v>20</v>
      </c>
      <c r="P42" s="21">
        <v>20</v>
      </c>
      <c r="Q42" s="32">
        <f>O42-P42</f>
        <v>0</v>
      </c>
      <c r="R42" s="22"/>
    </row>
    <row r="43" spans="1:18" x14ac:dyDescent="0.25">
      <c r="A43" s="21">
        <v>554162</v>
      </c>
      <c r="B43" s="21"/>
      <c r="C43" s="21">
        <v>80801</v>
      </c>
      <c r="D43" s="23" t="s">
        <v>129</v>
      </c>
      <c r="E43" s="23">
        <v>31</v>
      </c>
      <c r="F43" s="23">
        <v>31</v>
      </c>
      <c r="G43" s="23">
        <v>31</v>
      </c>
      <c r="H43" s="23">
        <v>31</v>
      </c>
      <c r="I43" s="23">
        <v>32</v>
      </c>
      <c r="J43" s="23">
        <v>32</v>
      </c>
      <c r="K43" s="23">
        <v>32</v>
      </c>
      <c r="L43" s="23">
        <v>32</v>
      </c>
      <c r="M43" s="23">
        <v>32</v>
      </c>
      <c r="N43" s="23">
        <v>32</v>
      </c>
      <c r="O43" s="21">
        <v>32</v>
      </c>
      <c r="P43" s="21">
        <v>20</v>
      </c>
      <c r="Q43" s="32">
        <f>+O43-P43</f>
        <v>12</v>
      </c>
      <c r="R43" s="22"/>
    </row>
    <row r="44" spans="1:18" x14ac:dyDescent="0.25">
      <c r="A44" s="21">
        <v>554410</v>
      </c>
      <c r="B44" s="21"/>
      <c r="C44" s="21">
        <v>80901</v>
      </c>
      <c r="D44" s="23" t="s">
        <v>130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1">
        <v>10</v>
      </c>
      <c r="P44" s="21">
        <v>10</v>
      </c>
      <c r="Q44" s="32">
        <f>O44-P44</f>
        <v>0</v>
      </c>
      <c r="R44" s="22"/>
    </row>
    <row r="45" spans="1:18" x14ac:dyDescent="0.25">
      <c r="A45" s="21">
        <v>109066</v>
      </c>
      <c r="B45" s="21"/>
      <c r="C45" s="21">
        <v>80901</v>
      </c>
      <c r="D45" s="23" t="s">
        <v>131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1">
        <v>10</v>
      </c>
      <c r="P45" s="21">
        <v>10</v>
      </c>
      <c r="Q45" s="32">
        <f>O45-P45</f>
        <v>0</v>
      </c>
      <c r="R45" s="22"/>
    </row>
    <row r="46" spans="1:18" x14ac:dyDescent="0.25">
      <c r="A46" s="21">
        <v>554188</v>
      </c>
      <c r="B46" s="21"/>
      <c r="C46" s="21">
        <v>80402</v>
      </c>
      <c r="D46" s="23" t="s">
        <v>132</v>
      </c>
      <c r="E46" s="23">
        <v>245</v>
      </c>
      <c r="F46" s="23">
        <v>245</v>
      </c>
      <c r="G46" s="23">
        <v>245</v>
      </c>
      <c r="H46" s="23">
        <v>150</v>
      </c>
      <c r="I46" s="23">
        <v>245</v>
      </c>
      <c r="J46" s="23">
        <v>111</v>
      </c>
      <c r="K46" s="23">
        <v>115</v>
      </c>
      <c r="L46" s="23">
        <v>115</v>
      </c>
      <c r="M46" s="23">
        <v>115</v>
      </c>
      <c r="N46" s="23">
        <v>115</v>
      </c>
      <c r="O46" s="21">
        <v>7</v>
      </c>
      <c r="P46" s="21">
        <v>50</v>
      </c>
      <c r="Q46" s="32">
        <f>+O46-P46</f>
        <v>-43</v>
      </c>
      <c r="R46" s="22"/>
    </row>
    <row r="47" spans="1:18" x14ac:dyDescent="0.25">
      <c r="A47" s="21">
        <v>554212</v>
      </c>
      <c r="B47" s="21"/>
      <c r="C47" s="21">
        <v>80402</v>
      </c>
      <c r="D47" s="23" t="s">
        <v>133</v>
      </c>
      <c r="E47" s="23">
        <v>226</v>
      </c>
      <c r="F47" s="23">
        <v>226</v>
      </c>
      <c r="G47" s="23">
        <v>226</v>
      </c>
      <c r="H47" s="23">
        <v>153</v>
      </c>
      <c r="I47" s="23">
        <v>153</v>
      </c>
      <c r="J47" s="23">
        <v>153</v>
      </c>
      <c r="K47" s="23">
        <v>93</v>
      </c>
      <c r="L47" s="23">
        <v>123</v>
      </c>
      <c r="M47" s="23">
        <v>113</v>
      </c>
      <c r="N47" s="23">
        <v>113</v>
      </c>
      <c r="O47" s="21">
        <v>23</v>
      </c>
      <c r="P47" s="21">
        <v>50</v>
      </c>
      <c r="Q47" s="32">
        <f>+O47-P47</f>
        <v>-27</v>
      </c>
      <c r="R47" s="22"/>
    </row>
    <row r="48" spans="1:18" x14ac:dyDescent="0.25">
      <c r="A48" s="21">
        <v>554246</v>
      </c>
      <c r="B48" s="21"/>
      <c r="C48" s="21">
        <v>80402</v>
      </c>
      <c r="D48" s="23" t="s">
        <v>134</v>
      </c>
      <c r="E48" s="23">
        <v>10</v>
      </c>
      <c r="F48" s="23">
        <v>10</v>
      </c>
      <c r="G48" s="23">
        <v>10</v>
      </c>
      <c r="H48" s="23">
        <v>4</v>
      </c>
      <c r="I48" s="23">
        <v>12</v>
      </c>
      <c r="J48" s="23">
        <v>36</v>
      </c>
      <c r="K48" s="23">
        <v>100</v>
      </c>
      <c r="L48" s="23">
        <v>100</v>
      </c>
      <c r="M48" s="23">
        <v>67</v>
      </c>
      <c r="N48" s="23">
        <f>67-8</f>
        <v>59</v>
      </c>
      <c r="O48" s="21">
        <v>50</v>
      </c>
      <c r="P48" s="21">
        <v>50</v>
      </c>
      <c r="Q48" s="32">
        <f>+O48-P48</f>
        <v>0</v>
      </c>
      <c r="R48" s="22"/>
    </row>
    <row r="49" spans="1:18" x14ac:dyDescent="0.25">
      <c r="A49" s="21">
        <v>12856</v>
      </c>
      <c r="B49" s="21"/>
      <c r="C49" s="21">
        <v>80502</v>
      </c>
      <c r="D49" s="23" t="s">
        <v>135</v>
      </c>
      <c r="E49" s="23">
        <v>188</v>
      </c>
      <c r="F49" s="23">
        <v>188</v>
      </c>
      <c r="G49" s="23">
        <v>188</v>
      </c>
      <c r="H49" s="23">
        <v>188</v>
      </c>
      <c r="I49" s="23">
        <v>188</v>
      </c>
      <c r="J49" s="23">
        <v>26</v>
      </c>
      <c r="K49" s="23">
        <v>26</v>
      </c>
      <c r="L49" s="23">
        <v>26</v>
      </c>
      <c r="M49" s="23">
        <v>68</v>
      </c>
      <c r="N49" s="23">
        <v>68</v>
      </c>
      <c r="O49" s="21">
        <v>50</v>
      </c>
      <c r="P49" s="21">
        <v>50</v>
      </c>
      <c r="Q49" s="32">
        <f>+O49-P49</f>
        <v>0</v>
      </c>
      <c r="R49" s="22"/>
    </row>
    <row r="50" spans="1:18" x14ac:dyDescent="0.25">
      <c r="A50" s="21">
        <v>554261</v>
      </c>
      <c r="B50" s="21"/>
      <c r="C50" s="21">
        <v>80502</v>
      </c>
      <c r="D50" s="23" t="s">
        <v>136</v>
      </c>
      <c r="E50" s="23">
        <v>106</v>
      </c>
      <c r="F50" s="23">
        <v>106</v>
      </c>
      <c r="G50" s="23">
        <v>106</v>
      </c>
      <c r="H50" s="23">
        <v>106</v>
      </c>
      <c r="I50" s="23">
        <v>106</v>
      </c>
      <c r="J50" s="23">
        <v>106</v>
      </c>
      <c r="K50" s="23">
        <v>106</v>
      </c>
      <c r="L50" s="23">
        <v>106</v>
      </c>
      <c r="M50" s="23">
        <v>93</v>
      </c>
      <c r="N50" s="23">
        <v>93</v>
      </c>
      <c r="O50" s="21">
        <v>50</v>
      </c>
      <c r="P50" s="21">
        <v>50</v>
      </c>
      <c r="Q50" s="32">
        <f>+O50-P50</f>
        <v>0</v>
      </c>
      <c r="R50" s="22"/>
    </row>
    <row r="51" spans="1:18" x14ac:dyDescent="0.25">
      <c r="A51" s="21">
        <v>554170</v>
      </c>
      <c r="B51" s="21"/>
      <c r="C51" s="21">
        <v>80402</v>
      </c>
      <c r="D51" s="23" t="s">
        <v>137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1">
        <v>0</v>
      </c>
      <c r="P51" s="21">
        <v>50</v>
      </c>
      <c r="Q51" s="32">
        <f>O51-P51</f>
        <v>-50</v>
      </c>
      <c r="R51" s="22"/>
    </row>
    <row r="52" spans="1:18" x14ac:dyDescent="0.25">
      <c r="A52" s="21">
        <v>39420</v>
      </c>
      <c r="B52" s="21"/>
      <c r="C52" s="21">
        <v>80502</v>
      </c>
      <c r="D52" s="23" t="s">
        <v>138</v>
      </c>
      <c r="E52" s="23">
        <v>117</v>
      </c>
      <c r="F52" s="23">
        <v>117</v>
      </c>
      <c r="G52" s="23">
        <v>117</v>
      </c>
      <c r="H52" s="23">
        <v>117</v>
      </c>
      <c r="I52" s="23">
        <v>117</v>
      </c>
      <c r="J52" s="23">
        <v>117</v>
      </c>
      <c r="K52" s="23">
        <v>117</v>
      </c>
      <c r="L52" s="23">
        <v>117</v>
      </c>
      <c r="M52" s="23">
        <v>45</v>
      </c>
      <c r="N52" s="23">
        <v>45</v>
      </c>
      <c r="O52" s="21">
        <v>50</v>
      </c>
      <c r="P52" s="21">
        <v>50</v>
      </c>
      <c r="Q52" s="32">
        <f t="shared" ref="Q52:Q84" si="3">+O52-P52</f>
        <v>0</v>
      </c>
      <c r="R52" s="22"/>
    </row>
    <row r="53" spans="1:18" x14ac:dyDescent="0.25">
      <c r="A53" s="21">
        <v>12997</v>
      </c>
      <c r="B53" s="21"/>
      <c r="C53" s="21">
        <v>80404</v>
      </c>
      <c r="D53" s="23" t="s">
        <v>139</v>
      </c>
      <c r="E53" s="23">
        <v>68</v>
      </c>
      <c r="F53" s="23">
        <v>68</v>
      </c>
      <c r="G53" s="23">
        <v>68</v>
      </c>
      <c r="H53" s="23">
        <v>68</v>
      </c>
      <c r="I53" s="23">
        <v>67</v>
      </c>
      <c r="J53" s="23">
        <v>67</v>
      </c>
      <c r="K53" s="23">
        <v>67</v>
      </c>
      <c r="L53" s="23">
        <v>67</v>
      </c>
      <c r="M53" s="23">
        <v>67</v>
      </c>
      <c r="N53" s="23">
        <v>67</v>
      </c>
      <c r="O53" s="21">
        <v>200</v>
      </c>
      <c r="P53" s="21">
        <v>200</v>
      </c>
      <c r="Q53" s="32">
        <f t="shared" si="3"/>
        <v>0</v>
      </c>
      <c r="R53" s="22"/>
    </row>
    <row r="54" spans="1:18" x14ac:dyDescent="0.25">
      <c r="A54" s="21">
        <v>554311</v>
      </c>
      <c r="B54" s="21"/>
      <c r="C54" s="21">
        <v>80404</v>
      </c>
      <c r="D54" s="23" t="s">
        <v>140</v>
      </c>
      <c r="E54" s="23">
        <v>71</v>
      </c>
      <c r="F54" s="23">
        <v>71</v>
      </c>
      <c r="G54" s="23">
        <v>71</v>
      </c>
      <c r="H54" s="23">
        <v>71</v>
      </c>
      <c r="I54" s="23">
        <v>71</v>
      </c>
      <c r="J54" s="23">
        <v>71</v>
      </c>
      <c r="K54" s="23">
        <v>71</v>
      </c>
      <c r="L54" s="23">
        <v>71</v>
      </c>
      <c r="M54" s="23">
        <v>71</v>
      </c>
      <c r="N54" s="23">
        <v>71</v>
      </c>
      <c r="O54" s="21">
        <v>20</v>
      </c>
      <c r="P54" s="21">
        <v>100</v>
      </c>
      <c r="Q54" s="32">
        <f t="shared" si="3"/>
        <v>-80</v>
      </c>
      <c r="R54" s="22"/>
    </row>
    <row r="55" spans="1:18" x14ac:dyDescent="0.25">
      <c r="A55" s="21">
        <v>554329</v>
      </c>
      <c r="B55" s="21"/>
      <c r="C55" s="21">
        <v>80404</v>
      </c>
      <c r="D55" s="23" t="s">
        <v>141</v>
      </c>
      <c r="E55" s="23">
        <v>100</v>
      </c>
      <c r="F55" s="23">
        <v>100</v>
      </c>
      <c r="G55" s="23">
        <v>100</v>
      </c>
      <c r="H55" s="23">
        <v>101</v>
      </c>
      <c r="I55" s="23">
        <v>82</v>
      </c>
      <c r="J55" s="23">
        <v>82</v>
      </c>
      <c r="K55" s="23">
        <v>82</v>
      </c>
      <c r="L55" s="23">
        <v>82</v>
      </c>
      <c r="M55" s="23">
        <v>82</v>
      </c>
      <c r="N55" s="23">
        <v>82</v>
      </c>
      <c r="O55" s="21">
        <v>200</v>
      </c>
      <c r="P55" s="21">
        <v>200</v>
      </c>
      <c r="Q55" s="32">
        <f t="shared" si="3"/>
        <v>0</v>
      </c>
      <c r="R55" s="22"/>
    </row>
    <row r="56" spans="1:18" x14ac:dyDescent="0.25">
      <c r="A56" s="21">
        <v>554345</v>
      </c>
      <c r="B56" s="21"/>
      <c r="C56" s="21">
        <v>80504</v>
      </c>
      <c r="D56" s="23" t="s">
        <v>142</v>
      </c>
      <c r="E56" s="23">
        <v>88</v>
      </c>
      <c r="F56" s="23">
        <v>88</v>
      </c>
      <c r="G56" s="23">
        <v>88</v>
      </c>
      <c r="H56" s="23">
        <v>88</v>
      </c>
      <c r="I56" s="23">
        <v>50</v>
      </c>
      <c r="J56" s="23">
        <v>50</v>
      </c>
      <c r="K56" s="23">
        <v>30</v>
      </c>
      <c r="L56" s="23">
        <v>30</v>
      </c>
      <c r="M56" s="23">
        <v>50</v>
      </c>
      <c r="N56" s="23">
        <v>50</v>
      </c>
      <c r="O56" s="21">
        <v>100</v>
      </c>
      <c r="P56" s="21">
        <v>100</v>
      </c>
      <c r="Q56" s="32">
        <f t="shared" si="3"/>
        <v>0</v>
      </c>
      <c r="R56" s="22"/>
    </row>
    <row r="57" spans="1:18" x14ac:dyDescent="0.25">
      <c r="A57" s="21">
        <v>554352</v>
      </c>
      <c r="B57" s="21"/>
      <c r="C57" s="21">
        <v>80504</v>
      </c>
      <c r="D57" s="23" t="s">
        <v>143</v>
      </c>
      <c r="E57" s="23">
        <v>31</v>
      </c>
      <c r="F57" s="23">
        <v>31</v>
      </c>
      <c r="G57" s="23">
        <v>31</v>
      </c>
      <c r="H57" s="23">
        <v>31</v>
      </c>
      <c r="I57" s="23">
        <v>31</v>
      </c>
      <c r="J57" s="23">
        <v>31</v>
      </c>
      <c r="K57" s="23">
        <v>31</v>
      </c>
      <c r="L57" s="23">
        <v>31</v>
      </c>
      <c r="M57" s="23">
        <v>31</v>
      </c>
      <c r="N57" s="23">
        <v>31</v>
      </c>
      <c r="O57" s="21">
        <v>100</v>
      </c>
      <c r="P57" s="21">
        <v>100</v>
      </c>
      <c r="Q57" s="32">
        <f t="shared" si="3"/>
        <v>0</v>
      </c>
      <c r="R57" s="22"/>
    </row>
    <row r="58" spans="1:18" x14ac:dyDescent="0.25">
      <c r="A58" s="21">
        <v>554444</v>
      </c>
      <c r="B58" s="21"/>
      <c r="C58" s="21">
        <v>80603</v>
      </c>
      <c r="D58" s="23" t="s">
        <v>144</v>
      </c>
      <c r="E58" s="23">
        <v>26</v>
      </c>
      <c r="F58" s="23">
        <v>26</v>
      </c>
      <c r="G58" s="23">
        <v>26</v>
      </c>
      <c r="H58" s="23">
        <v>26</v>
      </c>
      <c r="I58" s="23">
        <v>26</v>
      </c>
      <c r="J58" s="23">
        <v>26</v>
      </c>
      <c r="K58" s="23">
        <v>80</v>
      </c>
      <c r="L58" s="23">
        <v>80</v>
      </c>
      <c r="M58" s="23">
        <v>82</v>
      </c>
      <c r="N58" s="23">
        <v>82</v>
      </c>
      <c r="O58" s="21">
        <v>80</v>
      </c>
      <c r="P58" s="21">
        <v>100</v>
      </c>
      <c r="Q58" s="32">
        <f t="shared" si="3"/>
        <v>-20</v>
      </c>
      <c r="R58" s="22"/>
    </row>
    <row r="59" spans="1:18" x14ac:dyDescent="0.25">
      <c r="A59" s="21">
        <v>596205</v>
      </c>
      <c r="B59" s="21"/>
      <c r="C59" s="21">
        <v>80603</v>
      </c>
      <c r="D59" s="23" t="s">
        <v>145</v>
      </c>
      <c r="E59" s="23">
        <v>118</v>
      </c>
      <c r="F59" s="23">
        <v>118</v>
      </c>
      <c r="G59" s="23">
        <v>118</v>
      </c>
      <c r="H59" s="23">
        <v>88</v>
      </c>
      <c r="I59" s="23">
        <v>81</v>
      </c>
      <c r="J59" s="23">
        <v>81</v>
      </c>
      <c r="K59" s="23">
        <v>103</v>
      </c>
      <c r="L59" s="23">
        <v>103</v>
      </c>
      <c r="M59" s="23">
        <v>96</v>
      </c>
      <c r="N59" s="23">
        <v>96</v>
      </c>
      <c r="O59" s="21">
        <v>87</v>
      </c>
      <c r="P59" s="21">
        <v>100</v>
      </c>
      <c r="Q59" s="32">
        <f t="shared" si="3"/>
        <v>-13</v>
      </c>
      <c r="R59" s="22"/>
    </row>
    <row r="60" spans="1:18" x14ac:dyDescent="0.25">
      <c r="A60" s="21">
        <v>596213</v>
      </c>
      <c r="B60" s="21"/>
      <c r="C60" s="21">
        <v>80603</v>
      </c>
      <c r="D60" s="23" t="s">
        <v>146</v>
      </c>
      <c r="E60" s="23">
        <v>52</v>
      </c>
      <c r="F60" s="23">
        <v>52</v>
      </c>
      <c r="G60" s="23">
        <v>52</v>
      </c>
      <c r="H60" s="23">
        <v>152</v>
      </c>
      <c r="I60" s="23">
        <v>42</v>
      </c>
      <c r="J60" s="23">
        <v>85</v>
      </c>
      <c r="K60" s="23">
        <v>110</v>
      </c>
      <c r="L60" s="23">
        <v>110</v>
      </c>
      <c r="M60" s="23">
        <v>100</v>
      </c>
      <c r="N60" s="23">
        <v>100</v>
      </c>
      <c r="O60" s="21">
        <v>20</v>
      </c>
      <c r="P60" s="21">
        <v>100</v>
      </c>
      <c r="Q60" s="32">
        <f t="shared" si="3"/>
        <v>-80</v>
      </c>
      <c r="R60" s="22"/>
    </row>
    <row r="61" spans="1:18" x14ac:dyDescent="0.25">
      <c r="A61" s="21">
        <v>554485</v>
      </c>
      <c r="B61" s="21"/>
      <c r="C61" s="21">
        <v>80703</v>
      </c>
      <c r="D61" s="23" t="s">
        <v>147</v>
      </c>
      <c r="E61" s="23">
        <v>111</v>
      </c>
      <c r="F61" s="23">
        <v>111</v>
      </c>
      <c r="G61" s="23">
        <v>111</v>
      </c>
      <c r="H61" s="23">
        <v>72</v>
      </c>
      <c r="I61" s="23">
        <v>100</v>
      </c>
      <c r="J61" s="23">
        <v>103</v>
      </c>
      <c r="K61" s="23">
        <v>155</v>
      </c>
      <c r="L61" s="23">
        <v>155</v>
      </c>
      <c r="M61" s="23">
        <v>76</v>
      </c>
      <c r="N61" s="23">
        <v>190</v>
      </c>
      <c r="O61" s="21">
        <v>45</v>
      </c>
      <c r="P61" s="21">
        <v>100</v>
      </c>
      <c r="Q61" s="32">
        <f t="shared" si="3"/>
        <v>-55</v>
      </c>
      <c r="R61" s="22"/>
    </row>
    <row r="62" spans="1:18" x14ac:dyDescent="0.25">
      <c r="A62" s="21">
        <v>596726</v>
      </c>
      <c r="B62" s="21"/>
      <c r="C62" s="21">
        <v>80703</v>
      </c>
      <c r="D62" s="23" t="s">
        <v>148</v>
      </c>
      <c r="E62" s="23">
        <v>38</v>
      </c>
      <c r="F62" s="23">
        <v>38</v>
      </c>
      <c r="G62" s="23">
        <v>48</v>
      </c>
      <c r="H62" s="23">
        <v>11</v>
      </c>
      <c r="I62" s="23">
        <v>54</v>
      </c>
      <c r="J62" s="23">
        <v>100</v>
      </c>
      <c r="K62" s="23">
        <v>100</v>
      </c>
      <c r="L62" s="23">
        <v>80</v>
      </c>
      <c r="M62" s="23">
        <v>100</v>
      </c>
      <c r="N62" s="23">
        <v>50</v>
      </c>
      <c r="O62" s="21">
        <v>90</v>
      </c>
      <c r="P62" s="21">
        <v>100</v>
      </c>
      <c r="Q62" s="32">
        <f t="shared" si="3"/>
        <v>-10</v>
      </c>
      <c r="R62" s="22"/>
    </row>
    <row r="63" spans="1:18" x14ac:dyDescent="0.25">
      <c r="A63" s="21">
        <v>110627</v>
      </c>
      <c r="B63" s="21"/>
      <c r="C63" s="21">
        <v>80803</v>
      </c>
      <c r="D63" s="23" t="s">
        <v>149</v>
      </c>
      <c r="E63" s="23">
        <v>85</v>
      </c>
      <c r="F63" s="23">
        <v>85</v>
      </c>
      <c r="G63" s="23">
        <v>85</v>
      </c>
      <c r="H63" s="23">
        <f>85+70</f>
        <v>155</v>
      </c>
      <c r="I63" s="23">
        <f>85+70</f>
        <v>155</v>
      </c>
      <c r="J63" s="23">
        <f>85+70</f>
        <v>155</v>
      </c>
      <c r="K63" s="23">
        <v>95</v>
      </c>
      <c r="L63" s="23">
        <v>95</v>
      </c>
      <c r="M63" s="23">
        <v>100</v>
      </c>
      <c r="N63" s="23">
        <v>100</v>
      </c>
      <c r="O63" s="21">
        <v>50</v>
      </c>
      <c r="P63" s="21">
        <v>50</v>
      </c>
      <c r="Q63" s="32">
        <f t="shared" si="3"/>
        <v>0</v>
      </c>
      <c r="R63" s="22"/>
    </row>
    <row r="64" spans="1:18" x14ac:dyDescent="0.25">
      <c r="A64" s="21">
        <v>108811</v>
      </c>
      <c r="B64" s="21"/>
      <c r="C64" s="21">
        <v>80903</v>
      </c>
      <c r="D64" s="23" t="s">
        <v>150</v>
      </c>
      <c r="E64" s="23">
        <v>66</v>
      </c>
      <c r="F64" s="23">
        <v>66</v>
      </c>
      <c r="G64" s="23">
        <v>66</v>
      </c>
      <c r="H64" s="23">
        <v>26</v>
      </c>
      <c r="I64" s="23">
        <v>26</v>
      </c>
      <c r="J64" s="23">
        <v>0</v>
      </c>
      <c r="K64" s="23">
        <v>56</v>
      </c>
      <c r="L64" s="23">
        <v>56</v>
      </c>
      <c r="M64" s="23">
        <v>75</v>
      </c>
      <c r="N64" s="23">
        <v>75</v>
      </c>
      <c r="O64" s="21">
        <v>18</v>
      </c>
      <c r="P64" s="21">
        <v>30</v>
      </c>
      <c r="Q64" s="32">
        <f t="shared" si="3"/>
        <v>-12</v>
      </c>
      <c r="R64" s="22"/>
    </row>
    <row r="65" spans="1:18" x14ac:dyDescent="0.25">
      <c r="A65" s="21">
        <v>89821</v>
      </c>
      <c r="B65" s="21"/>
      <c r="C65" s="21">
        <v>80403</v>
      </c>
      <c r="D65" s="23" t="s">
        <v>151</v>
      </c>
      <c r="E65" s="23">
        <v>333</v>
      </c>
      <c r="F65" s="23">
        <v>333</v>
      </c>
      <c r="G65" s="23">
        <v>333</v>
      </c>
      <c r="H65" s="23">
        <v>333</v>
      </c>
      <c r="I65" s="23">
        <v>233</v>
      </c>
      <c r="J65" s="23">
        <v>233</v>
      </c>
      <c r="K65" s="23">
        <v>233</v>
      </c>
      <c r="L65" s="23">
        <v>233</v>
      </c>
      <c r="M65" s="23">
        <v>233</v>
      </c>
      <c r="N65" s="23">
        <v>233</v>
      </c>
      <c r="O65" s="21">
        <v>200</v>
      </c>
      <c r="P65" s="21">
        <v>200</v>
      </c>
      <c r="Q65" s="32">
        <f t="shared" si="3"/>
        <v>0</v>
      </c>
      <c r="R65" s="22"/>
    </row>
    <row r="66" spans="1:18" x14ac:dyDescent="0.25">
      <c r="A66" s="21">
        <v>39198</v>
      </c>
      <c r="B66" s="21"/>
      <c r="C66" s="21">
        <v>80403</v>
      </c>
      <c r="D66" s="23" t="s">
        <v>152</v>
      </c>
      <c r="E66" s="23">
        <v>0</v>
      </c>
      <c r="F66" s="23">
        <v>200</v>
      </c>
      <c r="G66" s="23">
        <v>200</v>
      </c>
      <c r="H66" s="23">
        <v>102</v>
      </c>
      <c r="I66" s="23">
        <v>102</v>
      </c>
      <c r="J66" s="23">
        <v>102</v>
      </c>
      <c r="K66" s="23">
        <v>0</v>
      </c>
      <c r="L66" s="23">
        <v>100</v>
      </c>
      <c r="M66" s="23">
        <v>91</v>
      </c>
      <c r="N66" s="23">
        <v>91</v>
      </c>
      <c r="O66" s="21">
        <v>200</v>
      </c>
      <c r="P66" s="21">
        <v>200</v>
      </c>
      <c r="Q66" s="32">
        <f t="shared" si="3"/>
        <v>0</v>
      </c>
      <c r="R66" s="22"/>
    </row>
    <row r="67" spans="1:18" x14ac:dyDescent="0.25">
      <c r="A67" s="21">
        <v>39206</v>
      </c>
      <c r="B67" s="21"/>
      <c r="C67" s="21">
        <v>80403</v>
      </c>
      <c r="D67" s="23" t="s">
        <v>153</v>
      </c>
      <c r="E67" s="23">
        <v>35</v>
      </c>
      <c r="F67" s="23">
        <v>35</v>
      </c>
      <c r="G67" s="23">
        <v>35</v>
      </c>
      <c r="H67" s="23">
        <v>35</v>
      </c>
      <c r="I67" s="23">
        <v>35</v>
      </c>
      <c r="J67" s="23">
        <v>35</v>
      </c>
      <c r="K67" s="23">
        <v>0</v>
      </c>
      <c r="L67" s="23">
        <v>135</v>
      </c>
      <c r="M67" s="23">
        <v>94</v>
      </c>
      <c r="N67" s="23">
        <v>94</v>
      </c>
      <c r="O67" s="21">
        <v>100</v>
      </c>
      <c r="P67" s="21">
        <v>100</v>
      </c>
      <c r="Q67" s="32">
        <f t="shared" si="3"/>
        <v>0</v>
      </c>
      <c r="R67" s="22"/>
    </row>
    <row r="68" spans="1:18" x14ac:dyDescent="0.25">
      <c r="A68" s="21">
        <v>39214</v>
      </c>
      <c r="B68" s="21"/>
      <c r="C68" s="21">
        <v>80502</v>
      </c>
      <c r="D68" s="23" t="s">
        <v>154</v>
      </c>
      <c r="E68" s="23">
        <v>88</v>
      </c>
      <c r="F68" s="23">
        <v>88</v>
      </c>
      <c r="G68" s="23">
        <v>88</v>
      </c>
      <c r="H68" s="23">
        <v>96</v>
      </c>
      <c r="I68" s="23">
        <v>96</v>
      </c>
      <c r="J68" s="23">
        <v>96</v>
      </c>
      <c r="K68" s="23">
        <v>96</v>
      </c>
      <c r="L68" s="23">
        <v>96</v>
      </c>
      <c r="M68" s="23">
        <v>96</v>
      </c>
      <c r="N68" s="23">
        <v>96</v>
      </c>
      <c r="O68" s="21">
        <v>100</v>
      </c>
      <c r="P68" s="21">
        <v>100</v>
      </c>
      <c r="Q68" s="32">
        <f t="shared" si="3"/>
        <v>0</v>
      </c>
      <c r="R68" s="22"/>
    </row>
    <row r="69" spans="1:18" x14ac:dyDescent="0.25">
      <c r="A69" s="21">
        <v>554527</v>
      </c>
      <c r="B69" s="21"/>
      <c r="C69" s="21">
        <v>80502</v>
      </c>
      <c r="D69" s="23" t="s">
        <v>155</v>
      </c>
      <c r="E69" s="23">
        <v>70</v>
      </c>
      <c r="F69" s="23">
        <v>70</v>
      </c>
      <c r="G69" s="23">
        <v>70</v>
      </c>
      <c r="H69" s="23">
        <v>71</v>
      </c>
      <c r="I69" s="23">
        <v>71</v>
      </c>
      <c r="J69" s="23">
        <v>71</v>
      </c>
      <c r="K69" s="23">
        <v>71</v>
      </c>
      <c r="L69" s="23">
        <v>71</v>
      </c>
      <c r="M69" s="23">
        <v>72</v>
      </c>
      <c r="N69" s="23">
        <v>72</v>
      </c>
      <c r="O69" s="21">
        <v>100</v>
      </c>
      <c r="P69" s="21">
        <v>100</v>
      </c>
      <c r="Q69" s="32">
        <f t="shared" si="3"/>
        <v>0</v>
      </c>
      <c r="R69" s="22"/>
    </row>
    <row r="70" spans="1:18" x14ac:dyDescent="0.25">
      <c r="A70" s="21">
        <v>39040</v>
      </c>
      <c r="B70" s="21"/>
      <c r="C70" s="21">
        <v>80404</v>
      </c>
      <c r="D70" s="23" t="s">
        <v>156</v>
      </c>
      <c r="E70" s="23">
        <v>150</v>
      </c>
      <c r="F70" s="23">
        <v>150</v>
      </c>
      <c r="G70" s="23">
        <v>150</v>
      </c>
      <c r="H70" s="23">
        <v>200</v>
      </c>
      <c r="I70" s="23">
        <v>117</v>
      </c>
      <c r="J70" s="23">
        <v>153</v>
      </c>
      <c r="K70" s="23">
        <v>200</v>
      </c>
      <c r="L70" s="23">
        <v>170</v>
      </c>
      <c r="M70" s="23">
        <v>150</v>
      </c>
      <c r="N70" s="23">
        <v>100</v>
      </c>
      <c r="O70" s="21">
        <v>100</v>
      </c>
      <c r="P70" s="21">
        <v>100</v>
      </c>
      <c r="Q70" s="32">
        <f t="shared" si="3"/>
        <v>0</v>
      </c>
      <c r="R70" s="22"/>
    </row>
    <row r="71" spans="1:18" x14ac:dyDescent="0.25">
      <c r="A71" s="21">
        <v>554683</v>
      </c>
      <c r="B71" s="21"/>
      <c r="C71" s="21">
        <v>80604</v>
      </c>
      <c r="D71" s="23" t="s">
        <v>157</v>
      </c>
      <c r="E71" s="23">
        <v>350</v>
      </c>
      <c r="F71" s="23">
        <v>350</v>
      </c>
      <c r="G71" s="23">
        <v>350</v>
      </c>
      <c r="H71" s="23">
        <v>350</v>
      </c>
      <c r="I71" s="23">
        <v>350</v>
      </c>
      <c r="J71" s="23">
        <v>350</v>
      </c>
      <c r="K71" s="23">
        <v>350</v>
      </c>
      <c r="L71" s="23">
        <v>350</v>
      </c>
      <c r="M71" s="23">
        <v>350</v>
      </c>
      <c r="N71" s="23">
        <v>350</v>
      </c>
      <c r="O71" s="21">
        <v>250</v>
      </c>
      <c r="P71" s="21">
        <v>100</v>
      </c>
      <c r="Q71" s="32">
        <f t="shared" si="3"/>
        <v>150</v>
      </c>
      <c r="R71" s="22"/>
    </row>
    <row r="72" spans="1:18" x14ac:dyDescent="0.25">
      <c r="A72" s="21">
        <v>596189</v>
      </c>
      <c r="B72" s="21"/>
      <c r="C72" s="21">
        <v>80604</v>
      </c>
      <c r="D72" s="23" t="s">
        <v>158</v>
      </c>
      <c r="E72" s="23">
        <v>70</v>
      </c>
      <c r="F72" s="23">
        <v>70</v>
      </c>
      <c r="G72" s="23">
        <v>26</v>
      </c>
      <c r="H72" s="23">
        <v>250</v>
      </c>
      <c r="I72" s="23">
        <v>250</v>
      </c>
      <c r="J72" s="23">
        <v>230</v>
      </c>
      <c r="K72" s="23">
        <v>0</v>
      </c>
      <c r="L72" s="23">
        <v>240</v>
      </c>
      <c r="M72" s="23">
        <v>150</v>
      </c>
      <c r="N72" s="23">
        <v>150</v>
      </c>
      <c r="O72" s="21">
        <v>4</v>
      </c>
      <c r="P72" s="21">
        <v>100</v>
      </c>
      <c r="Q72" s="32">
        <f t="shared" si="3"/>
        <v>-96</v>
      </c>
      <c r="R72" s="22"/>
    </row>
    <row r="73" spans="1:18" x14ac:dyDescent="0.25">
      <c r="A73" s="21">
        <v>554709</v>
      </c>
      <c r="B73" s="21"/>
      <c r="C73" s="21">
        <v>80704</v>
      </c>
      <c r="D73" s="23" t="s">
        <v>159</v>
      </c>
      <c r="E73" s="23">
        <v>218</v>
      </c>
      <c r="F73" s="23">
        <v>218</v>
      </c>
      <c r="G73" s="23">
        <v>218</v>
      </c>
      <c r="H73" s="23">
        <v>124</v>
      </c>
      <c r="I73" s="23">
        <v>128</v>
      </c>
      <c r="J73" s="23">
        <v>130</v>
      </c>
      <c r="K73" s="23">
        <v>0</v>
      </c>
      <c r="L73" s="23">
        <v>219</v>
      </c>
      <c r="M73" s="23">
        <v>156</v>
      </c>
      <c r="N73" s="23">
        <v>156</v>
      </c>
      <c r="O73" s="21">
        <v>6</v>
      </c>
      <c r="P73" s="21">
        <v>100</v>
      </c>
      <c r="Q73" s="32">
        <f t="shared" si="3"/>
        <v>-94</v>
      </c>
      <c r="R73" s="22"/>
    </row>
    <row r="74" spans="1:18" x14ac:dyDescent="0.25">
      <c r="A74" s="21">
        <v>554733</v>
      </c>
      <c r="B74" s="21"/>
      <c r="C74" s="21">
        <v>80704</v>
      </c>
      <c r="D74" s="23" t="s">
        <v>160</v>
      </c>
      <c r="E74" s="23">
        <v>216</v>
      </c>
      <c r="F74" s="23">
        <v>216</v>
      </c>
      <c r="G74" s="23">
        <v>216</v>
      </c>
      <c r="H74" s="23">
        <v>97</v>
      </c>
      <c r="I74" s="23">
        <v>113</v>
      </c>
      <c r="J74" s="23">
        <v>223</v>
      </c>
      <c r="K74" s="23">
        <v>0</v>
      </c>
      <c r="L74" s="23">
        <v>180</v>
      </c>
      <c r="M74" s="23">
        <v>150</v>
      </c>
      <c r="N74" s="23">
        <v>134</v>
      </c>
      <c r="O74" s="21">
        <v>50</v>
      </c>
      <c r="P74" s="21">
        <v>100</v>
      </c>
      <c r="Q74" s="32">
        <f t="shared" si="3"/>
        <v>-50</v>
      </c>
      <c r="R74" s="22"/>
    </row>
    <row r="75" spans="1:18" x14ac:dyDescent="0.25">
      <c r="A75" s="21">
        <v>110544</v>
      </c>
      <c r="B75" s="21"/>
      <c r="C75" s="21">
        <v>80704</v>
      </c>
      <c r="D75" s="26" t="s">
        <v>161</v>
      </c>
      <c r="E75" s="23">
        <v>135</v>
      </c>
      <c r="F75" s="23">
        <v>135</v>
      </c>
      <c r="G75" s="23">
        <v>135</v>
      </c>
      <c r="H75" s="23">
        <v>169</v>
      </c>
      <c r="I75" s="23">
        <v>169</v>
      </c>
      <c r="J75" s="23">
        <v>102</v>
      </c>
      <c r="K75" s="23">
        <v>98</v>
      </c>
      <c r="L75" s="23">
        <v>53</v>
      </c>
      <c r="M75" s="23">
        <v>108</v>
      </c>
      <c r="N75" s="23">
        <v>18</v>
      </c>
      <c r="O75" s="21">
        <v>155</v>
      </c>
      <c r="P75" s="21">
        <v>100</v>
      </c>
      <c r="Q75" s="32">
        <f t="shared" si="3"/>
        <v>55</v>
      </c>
      <c r="R75" s="22"/>
    </row>
    <row r="76" spans="1:18" x14ac:dyDescent="0.25">
      <c r="A76" s="21">
        <v>554741</v>
      </c>
      <c r="B76" s="21"/>
      <c r="C76" s="21">
        <v>80804</v>
      </c>
      <c r="D76" s="23" t="s">
        <v>162</v>
      </c>
      <c r="E76" s="23">
        <v>118</v>
      </c>
      <c r="F76" s="23">
        <v>108</v>
      </c>
      <c r="G76" s="23">
        <v>108</v>
      </c>
      <c r="H76" s="23">
        <v>108</v>
      </c>
      <c r="I76" s="23">
        <v>108</v>
      </c>
      <c r="J76" s="23">
        <v>145</v>
      </c>
      <c r="K76" s="23">
        <v>129</v>
      </c>
      <c r="L76" s="23">
        <v>109</v>
      </c>
      <c r="M76" s="23">
        <v>150</v>
      </c>
      <c r="N76" s="23">
        <v>150</v>
      </c>
      <c r="O76" s="21">
        <v>40</v>
      </c>
      <c r="P76" s="21">
        <v>100</v>
      </c>
      <c r="Q76" s="32">
        <f t="shared" si="3"/>
        <v>-60</v>
      </c>
      <c r="R76" s="22"/>
    </row>
    <row r="77" spans="1:18" x14ac:dyDescent="0.25">
      <c r="A77" s="21">
        <v>761029</v>
      </c>
      <c r="B77" s="21"/>
      <c r="C77" s="21">
        <v>80804</v>
      </c>
      <c r="D77" s="23" t="s">
        <v>163</v>
      </c>
      <c r="E77" s="23">
        <v>148</v>
      </c>
      <c r="F77" s="23">
        <v>148</v>
      </c>
      <c r="G77" s="23">
        <v>148</v>
      </c>
      <c r="H77" s="23">
        <v>148</v>
      </c>
      <c r="I77" s="23">
        <v>148</v>
      </c>
      <c r="J77" s="23">
        <v>148</v>
      </c>
      <c r="K77" s="23">
        <v>128</v>
      </c>
      <c r="L77" s="23">
        <v>148</v>
      </c>
      <c r="M77" s="23">
        <v>150</v>
      </c>
      <c r="N77" s="23">
        <v>150</v>
      </c>
      <c r="O77" s="21">
        <v>45</v>
      </c>
      <c r="P77" s="21">
        <v>50</v>
      </c>
      <c r="Q77" s="32">
        <f t="shared" si="3"/>
        <v>-5</v>
      </c>
      <c r="R77" s="22"/>
    </row>
    <row r="78" spans="1:18" x14ac:dyDescent="0.25">
      <c r="A78" s="21">
        <v>554758</v>
      </c>
      <c r="B78" s="21"/>
      <c r="C78" s="21">
        <v>80804</v>
      </c>
      <c r="D78" s="23" t="s">
        <v>164</v>
      </c>
      <c r="E78" s="23">
        <v>173</v>
      </c>
      <c r="F78" s="23">
        <v>173</v>
      </c>
      <c r="G78" s="23">
        <v>173</v>
      </c>
      <c r="H78" s="23">
        <v>173</v>
      </c>
      <c r="I78" s="23">
        <v>173</v>
      </c>
      <c r="J78" s="23">
        <v>173</v>
      </c>
      <c r="K78" s="23">
        <v>173</v>
      </c>
      <c r="L78" s="23">
        <v>153</v>
      </c>
      <c r="M78" s="23">
        <v>150</v>
      </c>
      <c r="N78" s="23">
        <v>150</v>
      </c>
      <c r="O78" s="21">
        <v>50</v>
      </c>
      <c r="P78" s="21">
        <v>50</v>
      </c>
      <c r="Q78" s="32">
        <f t="shared" si="3"/>
        <v>0</v>
      </c>
      <c r="R78" s="22"/>
    </row>
    <row r="79" spans="1:18" x14ac:dyDescent="0.25">
      <c r="A79" s="21">
        <v>108746</v>
      </c>
      <c r="B79" s="21"/>
      <c r="C79" s="21">
        <v>80904</v>
      </c>
      <c r="D79" s="23" t="s">
        <v>165</v>
      </c>
      <c r="E79" s="25"/>
      <c r="F79" s="25"/>
      <c r="G79" s="25"/>
      <c r="H79" s="25"/>
      <c r="I79" s="25"/>
      <c r="J79" s="23">
        <v>70</v>
      </c>
      <c r="K79" s="23"/>
      <c r="L79" s="23"/>
      <c r="M79" s="23">
        <v>52</v>
      </c>
      <c r="N79" s="23">
        <v>52</v>
      </c>
      <c r="O79" s="21">
        <v>50</v>
      </c>
      <c r="P79" s="21">
        <v>50</v>
      </c>
      <c r="Q79" s="32">
        <f t="shared" si="3"/>
        <v>0</v>
      </c>
      <c r="R79" s="22"/>
    </row>
    <row r="80" spans="1:18" x14ac:dyDescent="0.25">
      <c r="A80" s="21">
        <v>108753</v>
      </c>
      <c r="B80" s="21"/>
      <c r="C80" s="21">
        <v>80904</v>
      </c>
      <c r="D80" s="23" t="s">
        <v>166</v>
      </c>
      <c r="E80" s="23">
        <v>65</v>
      </c>
      <c r="F80" s="23">
        <v>65</v>
      </c>
      <c r="G80" s="23"/>
      <c r="H80" s="23">
        <v>135</v>
      </c>
      <c r="I80" s="23">
        <v>135</v>
      </c>
      <c r="J80" s="23">
        <v>135</v>
      </c>
      <c r="K80" s="23">
        <v>125</v>
      </c>
      <c r="L80" s="23">
        <v>125</v>
      </c>
      <c r="M80" s="23">
        <v>150</v>
      </c>
      <c r="N80" s="23">
        <v>150</v>
      </c>
      <c r="O80" s="21">
        <v>50</v>
      </c>
      <c r="P80" s="21">
        <v>50</v>
      </c>
      <c r="Q80" s="32">
        <f t="shared" si="3"/>
        <v>0</v>
      </c>
      <c r="R80" s="22"/>
    </row>
    <row r="81" spans="1:18" x14ac:dyDescent="0.25">
      <c r="A81" s="21">
        <v>761023</v>
      </c>
      <c r="B81" s="21"/>
      <c r="C81" s="21">
        <v>80602</v>
      </c>
      <c r="D81" s="23" t="s">
        <v>167</v>
      </c>
      <c r="E81" s="23">
        <v>100</v>
      </c>
      <c r="F81" s="23">
        <v>100</v>
      </c>
      <c r="G81" s="23">
        <v>100</v>
      </c>
      <c r="H81" s="23">
        <v>100</v>
      </c>
      <c r="I81" s="23">
        <v>100</v>
      </c>
      <c r="J81" s="23">
        <v>100</v>
      </c>
      <c r="K81" s="23">
        <v>100</v>
      </c>
      <c r="L81" s="23">
        <v>100</v>
      </c>
      <c r="M81" s="23">
        <v>100</v>
      </c>
      <c r="N81" s="23">
        <v>100</v>
      </c>
      <c r="O81" s="21">
        <v>50</v>
      </c>
      <c r="P81" s="21">
        <v>50</v>
      </c>
      <c r="Q81" s="32">
        <f t="shared" si="3"/>
        <v>0</v>
      </c>
      <c r="R81" s="22"/>
    </row>
    <row r="82" spans="1:18" x14ac:dyDescent="0.25">
      <c r="A82" s="21">
        <v>554832</v>
      </c>
      <c r="B82" s="21"/>
      <c r="C82" s="21">
        <v>80702</v>
      </c>
      <c r="D82" s="23" t="s">
        <v>168</v>
      </c>
      <c r="E82" s="23">
        <v>0</v>
      </c>
      <c r="F82" s="23">
        <v>100</v>
      </c>
      <c r="G82" s="23">
        <v>100</v>
      </c>
      <c r="H82" s="23">
        <v>74</v>
      </c>
      <c r="I82" s="23">
        <v>74</v>
      </c>
      <c r="J82" s="23">
        <v>74</v>
      </c>
      <c r="K82" s="23">
        <v>3</v>
      </c>
      <c r="L82" s="23">
        <v>50</v>
      </c>
      <c r="M82" s="23">
        <v>50</v>
      </c>
      <c r="N82" s="23">
        <v>50</v>
      </c>
      <c r="O82" s="21">
        <v>50</v>
      </c>
      <c r="P82" s="21">
        <v>50</v>
      </c>
      <c r="Q82" s="32">
        <f t="shared" si="3"/>
        <v>0</v>
      </c>
      <c r="R82" s="22"/>
    </row>
    <row r="83" spans="1:18" x14ac:dyDescent="0.25">
      <c r="A83" s="21">
        <v>761021</v>
      </c>
      <c r="B83" s="21"/>
      <c r="C83" s="21">
        <v>80802</v>
      </c>
      <c r="D83" s="23" t="s">
        <v>169</v>
      </c>
      <c r="E83" s="23">
        <v>50</v>
      </c>
      <c r="F83" s="23">
        <v>50</v>
      </c>
      <c r="G83" s="23">
        <v>50</v>
      </c>
      <c r="H83" s="23">
        <v>50</v>
      </c>
      <c r="I83" s="23">
        <v>50</v>
      </c>
      <c r="J83" s="23">
        <v>50</v>
      </c>
      <c r="K83" s="23">
        <v>50</v>
      </c>
      <c r="L83" s="23">
        <v>50</v>
      </c>
      <c r="M83" s="23">
        <v>50</v>
      </c>
      <c r="N83" s="23">
        <v>50</v>
      </c>
      <c r="O83" s="21">
        <v>4</v>
      </c>
      <c r="P83" s="21">
        <v>50</v>
      </c>
      <c r="Q83" s="32">
        <f t="shared" si="3"/>
        <v>-46</v>
      </c>
      <c r="R83" s="22"/>
    </row>
    <row r="84" spans="1:18" x14ac:dyDescent="0.25">
      <c r="A84" s="21">
        <v>108902</v>
      </c>
      <c r="B84" s="21"/>
      <c r="C84" s="21">
        <v>80902</v>
      </c>
      <c r="D84" s="23" t="s">
        <v>170</v>
      </c>
      <c r="E84" s="23">
        <v>75</v>
      </c>
      <c r="F84" s="23">
        <v>75</v>
      </c>
      <c r="G84" s="23">
        <v>75</v>
      </c>
      <c r="H84" s="23">
        <v>75</v>
      </c>
      <c r="I84" s="23">
        <v>75</v>
      </c>
      <c r="J84" s="23">
        <v>75</v>
      </c>
      <c r="K84" s="23">
        <v>32</v>
      </c>
      <c r="L84" s="23">
        <v>77</v>
      </c>
      <c r="M84" s="23">
        <v>68</v>
      </c>
      <c r="N84" s="23">
        <v>68</v>
      </c>
      <c r="O84" s="21">
        <v>15</v>
      </c>
      <c r="P84" s="21">
        <v>20</v>
      </c>
      <c r="Q84" s="32">
        <f t="shared" si="3"/>
        <v>-5</v>
      </c>
      <c r="R84" s="22"/>
    </row>
    <row r="85" spans="1:18" x14ac:dyDescent="0.25">
      <c r="A85" s="21">
        <v>758701</v>
      </c>
      <c r="B85" s="21"/>
      <c r="C85" s="21">
        <v>80702</v>
      </c>
      <c r="D85" s="23" t="s">
        <v>171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1">
        <v>30</v>
      </c>
      <c r="P85" s="21">
        <v>50</v>
      </c>
      <c r="Q85" s="32">
        <f>O85-P85</f>
        <v>-20</v>
      </c>
      <c r="R85" s="22"/>
    </row>
    <row r="86" spans="1:18" x14ac:dyDescent="0.25">
      <c r="A86" s="21">
        <v>760907</v>
      </c>
      <c r="B86" s="21"/>
      <c r="C86" s="21">
        <v>80802</v>
      </c>
      <c r="D86" s="23" t="s">
        <v>172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1">
        <v>20</v>
      </c>
      <c r="P86" s="21">
        <v>50</v>
      </c>
      <c r="Q86" s="32">
        <f>O86-P86</f>
        <v>-30</v>
      </c>
      <c r="R86" s="22"/>
    </row>
    <row r="87" spans="1:18" x14ac:dyDescent="0.25">
      <c r="A87" s="21">
        <v>700907</v>
      </c>
      <c r="B87" s="21"/>
      <c r="C87" s="21">
        <v>70802</v>
      </c>
      <c r="D87" s="23" t="s">
        <v>173</v>
      </c>
      <c r="E87" s="23">
        <v>0</v>
      </c>
      <c r="F87" s="23">
        <v>0</v>
      </c>
      <c r="G87" s="23">
        <v>60</v>
      </c>
      <c r="H87" s="23">
        <v>30</v>
      </c>
      <c r="I87" s="23">
        <v>30</v>
      </c>
      <c r="J87" s="23">
        <v>30</v>
      </c>
      <c r="K87" s="23">
        <v>30</v>
      </c>
      <c r="L87" s="23">
        <v>45</v>
      </c>
      <c r="M87" s="23">
        <v>50</v>
      </c>
      <c r="N87" s="23">
        <v>50</v>
      </c>
      <c r="O87" s="21">
        <v>50</v>
      </c>
      <c r="P87" s="21">
        <v>50</v>
      </c>
      <c r="Q87" s="32">
        <f t="shared" ref="Q87:Q92" si="4">+O87-P87</f>
        <v>0</v>
      </c>
      <c r="R87" s="22"/>
    </row>
    <row r="88" spans="1:18" x14ac:dyDescent="0.25">
      <c r="A88" s="21">
        <v>39420</v>
      </c>
      <c r="B88" s="21"/>
      <c r="C88" s="21">
        <v>80504</v>
      </c>
      <c r="D88" s="23" t="s">
        <v>174</v>
      </c>
      <c r="E88" s="23">
        <v>118</v>
      </c>
      <c r="F88" s="23">
        <v>118</v>
      </c>
      <c r="G88" s="23">
        <v>118</v>
      </c>
      <c r="H88" s="23">
        <v>118</v>
      </c>
      <c r="I88" s="23">
        <v>118</v>
      </c>
      <c r="J88" s="23">
        <v>118</v>
      </c>
      <c r="K88" s="23">
        <v>118</v>
      </c>
      <c r="L88" s="23">
        <v>118</v>
      </c>
      <c r="M88" s="23">
        <v>198</v>
      </c>
      <c r="N88" s="23">
        <v>198</v>
      </c>
      <c r="O88" s="21">
        <v>50</v>
      </c>
      <c r="P88" s="21">
        <v>50</v>
      </c>
      <c r="Q88" s="32">
        <f t="shared" si="4"/>
        <v>0</v>
      </c>
      <c r="R88" s="22"/>
    </row>
    <row r="89" spans="1:18" x14ac:dyDescent="0.25">
      <c r="A89" s="21">
        <v>597419</v>
      </c>
      <c r="B89" s="21"/>
      <c r="C89" s="21">
        <v>80703</v>
      </c>
      <c r="D89" s="23" t="s">
        <v>175</v>
      </c>
      <c r="E89" s="23">
        <v>82</v>
      </c>
      <c r="F89" s="23">
        <v>0</v>
      </c>
      <c r="G89" s="23">
        <v>0</v>
      </c>
      <c r="H89" s="23">
        <v>274</v>
      </c>
      <c r="I89" s="23">
        <v>274</v>
      </c>
      <c r="J89" s="23">
        <v>0</v>
      </c>
      <c r="K89" s="23">
        <v>106</v>
      </c>
      <c r="L89" s="23">
        <v>98</v>
      </c>
      <c r="M89" s="23">
        <v>104</v>
      </c>
      <c r="N89" s="23">
        <v>104</v>
      </c>
      <c r="O89" s="21">
        <v>31</v>
      </c>
      <c r="P89" s="21">
        <v>100</v>
      </c>
      <c r="Q89" s="32">
        <f t="shared" si="4"/>
        <v>-69</v>
      </c>
      <c r="R89" s="22"/>
    </row>
    <row r="90" spans="1:18" x14ac:dyDescent="0.25">
      <c r="A90" s="21">
        <v>110635</v>
      </c>
      <c r="B90" s="21"/>
      <c r="C90" s="21">
        <v>80803</v>
      </c>
      <c r="D90" s="23" t="s">
        <v>176</v>
      </c>
      <c r="E90" s="23">
        <v>68</v>
      </c>
      <c r="F90" s="23">
        <v>68</v>
      </c>
      <c r="G90" s="23">
        <v>148</v>
      </c>
      <c r="H90" s="23">
        <v>107</v>
      </c>
      <c r="I90" s="23">
        <v>77</v>
      </c>
      <c r="J90" s="23">
        <v>77</v>
      </c>
      <c r="K90" s="23">
        <v>77</v>
      </c>
      <c r="L90" s="23">
        <v>77</v>
      </c>
      <c r="M90" s="23">
        <v>100</v>
      </c>
      <c r="N90" s="23">
        <v>70</v>
      </c>
      <c r="O90" s="21">
        <v>50</v>
      </c>
      <c r="P90" s="21">
        <v>50</v>
      </c>
      <c r="Q90" s="32">
        <f t="shared" si="4"/>
        <v>0</v>
      </c>
      <c r="R90" s="22"/>
    </row>
    <row r="91" spans="1:18" x14ac:dyDescent="0.25">
      <c r="A91" s="21">
        <v>761026</v>
      </c>
      <c r="B91" s="21"/>
      <c r="C91" s="21">
        <v>80803</v>
      </c>
      <c r="D91" s="23" t="s">
        <v>177</v>
      </c>
      <c r="E91" s="23">
        <v>59</v>
      </c>
      <c r="F91" s="23">
        <v>59</v>
      </c>
      <c r="G91" s="23">
        <v>59</v>
      </c>
      <c r="H91" s="23">
        <v>59</v>
      </c>
      <c r="I91" s="23">
        <v>59</v>
      </c>
      <c r="J91" s="23">
        <v>59</v>
      </c>
      <c r="K91" s="23">
        <v>59</v>
      </c>
      <c r="L91" s="23">
        <v>59</v>
      </c>
      <c r="M91" s="23">
        <v>59</v>
      </c>
      <c r="N91" s="23">
        <v>59</v>
      </c>
      <c r="O91" s="21">
        <v>50</v>
      </c>
      <c r="P91" s="21">
        <v>50</v>
      </c>
      <c r="Q91" s="32">
        <f t="shared" si="4"/>
        <v>0</v>
      </c>
      <c r="R91" s="22"/>
    </row>
    <row r="92" spans="1:18" x14ac:dyDescent="0.25">
      <c r="A92" s="21">
        <v>108829</v>
      </c>
      <c r="B92" s="21"/>
      <c r="C92" s="21">
        <v>80903</v>
      </c>
      <c r="D92" s="23" t="s">
        <v>178</v>
      </c>
      <c r="E92" s="23">
        <v>51</v>
      </c>
      <c r="F92" s="23">
        <v>51</v>
      </c>
      <c r="G92" s="23">
        <v>51</v>
      </c>
      <c r="H92" s="23">
        <v>51</v>
      </c>
      <c r="I92" s="23">
        <v>51</v>
      </c>
      <c r="J92" s="23">
        <v>39</v>
      </c>
      <c r="K92" s="23">
        <v>24</v>
      </c>
      <c r="L92" s="23">
        <v>24</v>
      </c>
      <c r="M92" s="23">
        <v>70</v>
      </c>
      <c r="N92" s="23">
        <v>70</v>
      </c>
      <c r="O92" s="21">
        <v>16</v>
      </c>
      <c r="P92" s="21">
        <v>20</v>
      </c>
      <c r="Q92" s="32">
        <f t="shared" si="4"/>
        <v>-4</v>
      </c>
      <c r="R92" s="22"/>
    </row>
    <row r="93" spans="1:18" x14ac:dyDescent="0.25">
      <c r="A93" s="21">
        <v>553362</v>
      </c>
      <c r="B93" s="21"/>
      <c r="C93" s="21">
        <v>80502</v>
      </c>
      <c r="D93" s="23" t="s">
        <v>179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1">
        <v>50</v>
      </c>
      <c r="P93" s="21">
        <v>50</v>
      </c>
      <c r="Q93" s="32">
        <f>O93-P93</f>
        <v>0</v>
      </c>
      <c r="R93" s="22"/>
    </row>
    <row r="94" spans="1:18" x14ac:dyDescent="0.25">
      <c r="A94" s="21">
        <v>554634</v>
      </c>
      <c r="B94" s="21"/>
      <c r="C94" s="21">
        <v>80504</v>
      </c>
      <c r="D94" s="23" t="s">
        <v>180</v>
      </c>
      <c r="E94" s="23">
        <v>136</v>
      </c>
      <c r="F94" s="23">
        <v>136</v>
      </c>
      <c r="G94" s="23">
        <v>136</v>
      </c>
      <c r="H94" s="23">
        <v>136</v>
      </c>
      <c r="I94" s="23">
        <v>102</v>
      </c>
      <c r="J94" s="23">
        <v>102</v>
      </c>
      <c r="K94" s="23">
        <v>102</v>
      </c>
      <c r="L94" s="23">
        <v>102</v>
      </c>
      <c r="M94" s="23">
        <v>102</v>
      </c>
      <c r="N94" s="23">
        <v>102</v>
      </c>
      <c r="O94" s="21">
        <v>50</v>
      </c>
      <c r="P94" s="21">
        <v>100</v>
      </c>
      <c r="Q94" s="32">
        <f t="shared" ref="Q94:Q103" si="5">+O94-P94</f>
        <v>-50</v>
      </c>
      <c r="R94" s="22"/>
    </row>
    <row r="95" spans="1:18" x14ac:dyDescent="0.25">
      <c r="A95" s="21">
        <v>110502</v>
      </c>
      <c r="B95" s="21"/>
      <c r="C95" s="21">
        <v>80604</v>
      </c>
      <c r="D95" s="23" t="s">
        <v>181</v>
      </c>
      <c r="E95" s="23">
        <v>90</v>
      </c>
      <c r="F95" s="23">
        <v>90</v>
      </c>
      <c r="G95" s="23">
        <v>90</v>
      </c>
      <c r="H95" s="23">
        <v>90</v>
      </c>
      <c r="I95" s="23">
        <v>90</v>
      </c>
      <c r="J95" s="23">
        <v>57</v>
      </c>
      <c r="K95" s="23">
        <v>57</v>
      </c>
      <c r="L95" s="23">
        <v>57</v>
      </c>
      <c r="M95" s="23">
        <v>150</v>
      </c>
      <c r="N95" s="23">
        <v>150</v>
      </c>
      <c r="O95" s="21">
        <v>100</v>
      </c>
      <c r="P95" s="21">
        <v>100</v>
      </c>
      <c r="Q95" s="32">
        <f t="shared" si="5"/>
        <v>0</v>
      </c>
      <c r="R95" s="22"/>
    </row>
    <row r="96" spans="1:18" x14ac:dyDescent="0.25">
      <c r="A96" s="21">
        <v>110643</v>
      </c>
      <c r="B96" s="21"/>
      <c r="C96" s="21">
        <v>80602</v>
      </c>
      <c r="D96" s="23" t="s">
        <v>182</v>
      </c>
      <c r="E96" s="23">
        <v>117</v>
      </c>
      <c r="F96" s="23">
        <v>117</v>
      </c>
      <c r="G96" s="23">
        <v>117</v>
      </c>
      <c r="H96" s="23">
        <v>102</v>
      </c>
      <c r="I96" s="23">
        <v>102</v>
      </c>
      <c r="J96" s="23">
        <v>102</v>
      </c>
      <c r="K96" s="23">
        <v>93</v>
      </c>
      <c r="L96" s="23">
        <v>93</v>
      </c>
      <c r="M96" s="23">
        <v>96</v>
      </c>
      <c r="N96" s="23">
        <v>96</v>
      </c>
      <c r="O96" s="21">
        <v>71</v>
      </c>
      <c r="P96" s="21">
        <v>50</v>
      </c>
      <c r="Q96" s="32">
        <f t="shared" si="5"/>
        <v>21</v>
      </c>
      <c r="R96" s="22"/>
    </row>
    <row r="97" spans="1:18" x14ac:dyDescent="0.25">
      <c r="A97" s="21">
        <v>108852</v>
      </c>
      <c r="B97" s="21"/>
      <c r="C97" s="21">
        <v>80602</v>
      </c>
      <c r="D97" s="23" t="s">
        <v>183</v>
      </c>
      <c r="E97" s="23">
        <v>57</v>
      </c>
      <c r="F97" s="23">
        <v>57</v>
      </c>
      <c r="G97" s="23">
        <v>57</v>
      </c>
      <c r="H97" s="23">
        <v>45</v>
      </c>
      <c r="I97" s="23">
        <v>15</v>
      </c>
      <c r="J97" s="23">
        <v>11</v>
      </c>
      <c r="K97" s="23">
        <v>3</v>
      </c>
      <c r="L97" s="23">
        <v>3</v>
      </c>
      <c r="M97" s="23">
        <v>100</v>
      </c>
      <c r="N97" s="23">
        <v>100</v>
      </c>
      <c r="O97" s="21">
        <v>57</v>
      </c>
      <c r="P97" s="21">
        <v>50</v>
      </c>
      <c r="Q97" s="32">
        <f t="shared" si="5"/>
        <v>7</v>
      </c>
      <c r="R97" s="22"/>
    </row>
    <row r="98" spans="1:18" x14ac:dyDescent="0.25">
      <c r="A98" s="21">
        <v>554824</v>
      </c>
      <c r="B98" s="21"/>
      <c r="C98" s="21">
        <v>80702</v>
      </c>
      <c r="D98" s="23" t="s">
        <v>184</v>
      </c>
      <c r="E98" s="23">
        <v>111</v>
      </c>
      <c r="F98" s="23">
        <v>111</v>
      </c>
      <c r="G98" s="23">
        <v>111</v>
      </c>
      <c r="H98" s="23">
        <v>111</v>
      </c>
      <c r="I98" s="23">
        <v>111</v>
      </c>
      <c r="J98" s="23">
        <v>109</v>
      </c>
      <c r="K98" s="23">
        <v>93</v>
      </c>
      <c r="L98" s="23">
        <v>85</v>
      </c>
      <c r="M98" s="23">
        <v>100</v>
      </c>
      <c r="N98" s="23">
        <v>100</v>
      </c>
      <c r="O98" s="21">
        <v>0</v>
      </c>
      <c r="P98" s="21">
        <v>50</v>
      </c>
      <c r="Q98" s="32">
        <f t="shared" si="5"/>
        <v>-50</v>
      </c>
      <c r="R98" s="22"/>
    </row>
    <row r="99" spans="1:18" x14ac:dyDescent="0.25">
      <c r="A99" s="21">
        <v>597435</v>
      </c>
      <c r="B99" s="21"/>
      <c r="C99" s="21">
        <v>80802</v>
      </c>
      <c r="D99" s="23" t="s">
        <v>185</v>
      </c>
      <c r="E99" s="23">
        <v>34</v>
      </c>
      <c r="F99" s="23">
        <v>34</v>
      </c>
      <c r="G99" s="23">
        <v>100</v>
      </c>
      <c r="H99" s="23">
        <v>100</v>
      </c>
      <c r="I99" s="23">
        <v>100</v>
      </c>
      <c r="J99" s="23">
        <v>100</v>
      </c>
      <c r="K99" s="23">
        <v>100</v>
      </c>
      <c r="L99" s="23">
        <v>100</v>
      </c>
      <c r="M99" s="23">
        <v>100</v>
      </c>
      <c r="N99" s="23">
        <v>100</v>
      </c>
      <c r="O99" s="21">
        <v>50</v>
      </c>
      <c r="P99" s="21">
        <v>50</v>
      </c>
      <c r="Q99" s="32">
        <f t="shared" si="5"/>
        <v>0</v>
      </c>
      <c r="R99" s="22"/>
    </row>
    <row r="100" spans="1:18" x14ac:dyDescent="0.25">
      <c r="A100" s="28">
        <v>757581</v>
      </c>
      <c r="B100" s="28" t="s">
        <v>219</v>
      </c>
      <c r="C100" s="29">
        <v>81304</v>
      </c>
      <c r="D100" s="30" t="s">
        <v>186</v>
      </c>
      <c r="E100" s="30">
        <v>251</v>
      </c>
      <c r="F100" s="30">
        <v>251</v>
      </c>
      <c r="G100" s="30">
        <v>251</v>
      </c>
      <c r="H100" s="30">
        <v>250</v>
      </c>
      <c r="I100" s="30">
        <v>200</v>
      </c>
      <c r="J100" s="30">
        <v>200</v>
      </c>
      <c r="K100" s="30">
        <v>200</v>
      </c>
      <c r="L100" s="30">
        <v>200</v>
      </c>
      <c r="M100" s="30">
        <v>200</v>
      </c>
      <c r="N100" s="30">
        <v>200</v>
      </c>
      <c r="O100" s="28">
        <v>50</v>
      </c>
      <c r="P100" s="28">
        <v>50</v>
      </c>
      <c r="Q100" s="33">
        <f t="shared" si="5"/>
        <v>0</v>
      </c>
      <c r="R100" s="22"/>
    </row>
    <row r="101" spans="1:18" x14ac:dyDescent="0.25">
      <c r="A101" s="28">
        <v>25205</v>
      </c>
      <c r="B101" s="28" t="s">
        <v>220</v>
      </c>
      <c r="C101" s="28">
        <v>81104</v>
      </c>
      <c r="D101" s="30" t="s">
        <v>187</v>
      </c>
      <c r="E101" s="30">
        <v>100</v>
      </c>
      <c r="F101" s="30">
        <v>100</v>
      </c>
      <c r="G101" s="30">
        <v>100</v>
      </c>
      <c r="H101" s="30">
        <v>100</v>
      </c>
      <c r="I101" s="30">
        <v>91</v>
      </c>
      <c r="J101" s="30">
        <v>91</v>
      </c>
      <c r="K101" s="30">
        <v>69</v>
      </c>
      <c r="L101" s="30">
        <v>69</v>
      </c>
      <c r="M101" s="30">
        <v>142</v>
      </c>
      <c r="N101" s="30">
        <v>142</v>
      </c>
      <c r="O101" s="28">
        <v>50</v>
      </c>
      <c r="P101" s="28">
        <v>50</v>
      </c>
      <c r="Q101" s="33">
        <f t="shared" si="5"/>
        <v>0</v>
      </c>
      <c r="R101" s="22"/>
    </row>
    <row r="102" spans="1:18" x14ac:dyDescent="0.25">
      <c r="A102" s="28">
        <v>760811</v>
      </c>
      <c r="B102" s="28" t="s">
        <v>221</v>
      </c>
      <c r="C102" s="29">
        <v>81202</v>
      </c>
      <c r="D102" s="30" t="s">
        <v>188</v>
      </c>
      <c r="E102" s="30">
        <v>140</v>
      </c>
      <c r="F102" s="30">
        <v>140</v>
      </c>
      <c r="G102" s="30">
        <v>140</v>
      </c>
      <c r="H102" s="30">
        <v>140</v>
      </c>
      <c r="I102" s="30">
        <v>140</v>
      </c>
      <c r="J102" s="30">
        <v>140</v>
      </c>
      <c r="K102" s="30">
        <v>140</v>
      </c>
      <c r="L102" s="30">
        <v>140</v>
      </c>
      <c r="M102" s="30">
        <v>124</v>
      </c>
      <c r="N102" s="30">
        <v>124</v>
      </c>
      <c r="O102" s="28">
        <v>50</v>
      </c>
      <c r="P102" s="28">
        <v>50</v>
      </c>
      <c r="Q102" s="33">
        <f t="shared" si="5"/>
        <v>0</v>
      </c>
      <c r="R102" s="22"/>
    </row>
    <row r="103" spans="1:18" x14ac:dyDescent="0.25">
      <c r="A103" s="28">
        <v>554949</v>
      </c>
      <c r="B103" s="28" t="s">
        <v>222</v>
      </c>
      <c r="C103" s="29">
        <v>81202</v>
      </c>
      <c r="D103" s="30" t="s">
        <v>189</v>
      </c>
      <c r="E103" s="30">
        <v>160</v>
      </c>
      <c r="F103" s="30">
        <v>160</v>
      </c>
      <c r="G103" s="30">
        <v>160</v>
      </c>
      <c r="H103" s="30">
        <v>160</v>
      </c>
      <c r="I103" s="30">
        <v>160</v>
      </c>
      <c r="J103" s="30">
        <v>160</v>
      </c>
      <c r="K103" s="30">
        <v>160</v>
      </c>
      <c r="L103" s="30">
        <v>160</v>
      </c>
      <c r="M103" s="30">
        <v>160</v>
      </c>
      <c r="N103" s="30">
        <v>160</v>
      </c>
      <c r="O103" s="28">
        <v>50</v>
      </c>
      <c r="P103" s="28">
        <v>50</v>
      </c>
      <c r="Q103" s="33">
        <f t="shared" si="5"/>
        <v>0</v>
      </c>
      <c r="R103" s="22"/>
    </row>
    <row r="104" spans="1:18" x14ac:dyDescent="0.25">
      <c r="A104" s="28">
        <v>58222</v>
      </c>
      <c r="B104" s="28" t="s">
        <v>227</v>
      </c>
      <c r="C104" s="29">
        <v>81203</v>
      </c>
      <c r="D104" s="30" t="s">
        <v>194</v>
      </c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28">
        <v>0</v>
      </c>
      <c r="P104" s="28">
        <v>50</v>
      </c>
      <c r="Q104" s="33">
        <f>O104-P104</f>
        <v>-50</v>
      </c>
      <c r="R104" s="22"/>
    </row>
    <row r="105" spans="1:18" x14ac:dyDescent="0.25">
      <c r="A105" s="28">
        <v>555045</v>
      </c>
      <c r="B105" s="28" t="s">
        <v>228</v>
      </c>
      <c r="C105" s="29">
        <v>81203</v>
      </c>
      <c r="D105" s="30" t="s">
        <v>193</v>
      </c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28">
        <v>0</v>
      </c>
      <c r="P105" s="28">
        <v>50</v>
      </c>
      <c r="Q105" s="33">
        <f>O105-P105</f>
        <v>-50</v>
      </c>
      <c r="R105" s="22"/>
    </row>
    <row r="106" spans="1:18" x14ac:dyDescent="0.25">
      <c r="A106" s="28">
        <v>747908</v>
      </c>
      <c r="B106" s="28" t="s">
        <v>223</v>
      </c>
      <c r="C106" s="29">
        <v>81103</v>
      </c>
      <c r="D106" s="30" t="s">
        <v>190</v>
      </c>
      <c r="E106" s="30">
        <v>15</v>
      </c>
      <c r="F106" s="30">
        <v>15</v>
      </c>
      <c r="G106" s="30">
        <v>15</v>
      </c>
      <c r="H106" s="30">
        <v>100</v>
      </c>
      <c r="I106" s="30">
        <v>7</v>
      </c>
      <c r="J106" s="30">
        <v>107</v>
      </c>
      <c r="K106" s="30">
        <v>107</v>
      </c>
      <c r="L106" s="30">
        <v>107</v>
      </c>
      <c r="M106" s="30">
        <v>107</v>
      </c>
      <c r="N106" s="30">
        <v>107</v>
      </c>
      <c r="O106" s="28">
        <v>50</v>
      </c>
      <c r="P106" s="28">
        <v>50</v>
      </c>
      <c r="Q106" s="33">
        <f>+O106-P106</f>
        <v>0</v>
      </c>
      <c r="R106" s="22"/>
    </row>
    <row r="107" spans="1:18" x14ac:dyDescent="0.25">
      <c r="A107" s="28">
        <v>24877</v>
      </c>
      <c r="B107" s="28" t="s">
        <v>224</v>
      </c>
      <c r="C107" s="28">
        <v>81103</v>
      </c>
      <c r="D107" s="30" t="s">
        <v>191</v>
      </c>
      <c r="E107" s="31"/>
      <c r="F107" s="31"/>
      <c r="G107" s="31"/>
      <c r="H107" s="30">
        <v>100</v>
      </c>
      <c r="I107" s="30">
        <v>100</v>
      </c>
      <c r="J107" s="30">
        <v>40</v>
      </c>
      <c r="K107" s="30">
        <v>40</v>
      </c>
      <c r="L107" s="30">
        <v>40</v>
      </c>
      <c r="M107" s="30">
        <v>100</v>
      </c>
      <c r="N107" s="30">
        <v>100</v>
      </c>
      <c r="O107" s="28">
        <v>50</v>
      </c>
      <c r="P107" s="28">
        <v>50</v>
      </c>
      <c r="Q107" s="33">
        <f>+O107-P107</f>
        <v>0</v>
      </c>
      <c r="R107" s="22"/>
    </row>
    <row r="108" spans="1:18" x14ac:dyDescent="0.25">
      <c r="A108" s="28">
        <v>554964</v>
      </c>
      <c r="B108" s="28" t="s">
        <v>226</v>
      </c>
      <c r="C108" s="29">
        <v>81103</v>
      </c>
      <c r="D108" s="30" t="s">
        <v>192</v>
      </c>
      <c r="E108" s="31"/>
      <c r="F108" s="31"/>
      <c r="G108" s="31"/>
      <c r="H108" s="30">
        <v>39</v>
      </c>
      <c r="I108" s="30">
        <v>38</v>
      </c>
      <c r="J108" s="30">
        <v>0</v>
      </c>
      <c r="K108" s="30">
        <v>0</v>
      </c>
      <c r="L108" s="30">
        <v>50</v>
      </c>
      <c r="M108" s="30">
        <v>30</v>
      </c>
      <c r="N108" s="30">
        <v>30</v>
      </c>
      <c r="O108" s="28">
        <v>50</v>
      </c>
      <c r="P108" s="28">
        <v>50</v>
      </c>
      <c r="Q108" s="33">
        <f>+O108-P108</f>
        <v>0</v>
      </c>
      <c r="R108" s="22"/>
    </row>
    <row r="109" spans="1:18" x14ac:dyDescent="0.25">
      <c r="A109" s="21">
        <v>58198</v>
      </c>
      <c r="B109" s="21"/>
      <c r="C109" s="22">
        <v>81202</v>
      </c>
      <c r="D109" s="23" t="s">
        <v>198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1">
        <v>0</v>
      </c>
      <c r="P109" s="21">
        <v>50</v>
      </c>
      <c r="Q109" s="32">
        <f>O109-P109</f>
        <v>-50</v>
      </c>
      <c r="R109" s="22"/>
    </row>
    <row r="110" spans="1:18" x14ac:dyDescent="0.25">
      <c r="A110" s="21">
        <v>747962</v>
      </c>
      <c r="B110" s="21"/>
      <c r="C110" s="22">
        <v>81302</v>
      </c>
      <c r="D110" s="23" t="s">
        <v>195</v>
      </c>
      <c r="E110" s="23">
        <v>41</v>
      </c>
      <c r="F110" s="23">
        <v>41</v>
      </c>
      <c r="G110" s="23">
        <v>41</v>
      </c>
      <c r="H110" s="23">
        <v>17</v>
      </c>
      <c r="I110" s="23">
        <v>17</v>
      </c>
      <c r="J110" s="23">
        <v>64</v>
      </c>
      <c r="K110" s="23">
        <v>32</v>
      </c>
      <c r="L110" s="23">
        <v>32</v>
      </c>
      <c r="M110" s="23">
        <v>52</v>
      </c>
      <c r="N110" s="23">
        <v>52</v>
      </c>
      <c r="O110" s="21">
        <v>0</v>
      </c>
      <c r="P110" s="21">
        <v>20</v>
      </c>
      <c r="Q110" s="32">
        <f>+O110-P110</f>
        <v>-20</v>
      </c>
      <c r="R110" s="22"/>
    </row>
    <row r="111" spans="1:18" x14ac:dyDescent="0.25">
      <c r="A111" s="21">
        <v>339539</v>
      </c>
      <c r="B111" s="21"/>
      <c r="C111" s="22">
        <v>81302</v>
      </c>
      <c r="D111" s="23" t="s">
        <v>197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1">
        <v>0</v>
      </c>
      <c r="P111" s="21">
        <v>20</v>
      </c>
      <c r="Q111" s="32">
        <f>O111-P111</f>
        <v>-20</v>
      </c>
      <c r="R111" s="22"/>
    </row>
    <row r="112" spans="1:18" x14ac:dyDescent="0.25">
      <c r="A112" s="21">
        <v>529578</v>
      </c>
      <c r="B112" s="21"/>
      <c r="C112" s="22">
        <v>81102</v>
      </c>
      <c r="D112" s="23" t="s">
        <v>200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1">
        <v>0</v>
      </c>
      <c r="P112" s="21">
        <v>50</v>
      </c>
      <c r="Q112" s="32">
        <f>O112-P112</f>
        <v>-50</v>
      </c>
      <c r="R112" s="22"/>
    </row>
    <row r="113" spans="1:18" x14ac:dyDescent="0.25">
      <c r="A113" s="21">
        <v>554980</v>
      </c>
      <c r="B113" s="21"/>
      <c r="C113" s="21">
        <v>81102</v>
      </c>
      <c r="D113" s="23" t="s">
        <v>217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21">
        <v>0</v>
      </c>
      <c r="P113" s="21">
        <v>50</v>
      </c>
      <c r="Q113" s="32">
        <f>O113-P113</f>
        <v>-50</v>
      </c>
      <c r="R113" s="22"/>
    </row>
    <row r="114" spans="1:18" x14ac:dyDescent="0.25">
      <c r="A114" s="21">
        <v>54262</v>
      </c>
      <c r="B114" s="21"/>
      <c r="C114" s="21">
        <v>81102</v>
      </c>
      <c r="D114" s="23" t="s">
        <v>218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21">
        <v>0</v>
      </c>
      <c r="P114" s="21">
        <v>50</v>
      </c>
      <c r="Q114" s="32">
        <f>O114-P114</f>
        <v>-50</v>
      </c>
      <c r="R114" s="22"/>
    </row>
    <row r="115" spans="1:18" x14ac:dyDescent="0.25">
      <c r="A115" s="21">
        <v>556175</v>
      </c>
      <c r="B115" s="21"/>
      <c r="C115" s="22">
        <v>81004</v>
      </c>
      <c r="D115" s="23" t="s">
        <v>201</v>
      </c>
      <c r="E115" s="23">
        <v>148</v>
      </c>
      <c r="F115" s="23">
        <v>148</v>
      </c>
      <c r="G115" s="23">
        <v>148</v>
      </c>
      <c r="H115" s="23">
        <v>107</v>
      </c>
      <c r="I115" s="23">
        <v>107</v>
      </c>
      <c r="J115" s="23">
        <v>107</v>
      </c>
      <c r="K115" s="23">
        <v>84</v>
      </c>
      <c r="L115" s="23">
        <v>84</v>
      </c>
      <c r="M115" s="23">
        <v>63</v>
      </c>
      <c r="N115" s="23">
        <v>63</v>
      </c>
      <c r="O115" s="21">
        <v>59</v>
      </c>
      <c r="P115" s="21">
        <v>100</v>
      </c>
      <c r="Q115" s="32">
        <f>+O115-P115</f>
        <v>-41</v>
      </c>
      <c r="R115" s="22"/>
    </row>
    <row r="116" spans="1:18" x14ac:dyDescent="0.25">
      <c r="A116" s="21">
        <v>138933</v>
      </c>
      <c r="B116" s="21"/>
      <c r="C116" s="22">
        <v>81004</v>
      </c>
      <c r="D116" s="23" t="s">
        <v>216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1">
        <v>20</v>
      </c>
      <c r="P116" s="21">
        <v>100</v>
      </c>
      <c r="Q116" s="32">
        <f>O116-P116</f>
        <v>-80</v>
      </c>
      <c r="R116" s="22"/>
    </row>
    <row r="117" spans="1:18" x14ac:dyDescent="0.25">
      <c r="A117" s="21">
        <v>596767</v>
      </c>
      <c r="B117" s="21"/>
      <c r="C117" s="21">
        <v>80302</v>
      </c>
      <c r="D117" s="23" t="s">
        <v>202</v>
      </c>
      <c r="E117" s="25"/>
      <c r="F117" s="25"/>
      <c r="G117" s="25"/>
      <c r="H117" s="23">
        <v>0</v>
      </c>
      <c r="I117" s="23">
        <v>75</v>
      </c>
      <c r="J117" s="23">
        <v>75</v>
      </c>
      <c r="K117" s="23">
        <v>75</v>
      </c>
      <c r="L117" s="23">
        <v>75</v>
      </c>
      <c r="M117" s="23">
        <v>80</v>
      </c>
      <c r="N117" s="23">
        <v>80</v>
      </c>
      <c r="O117" s="21">
        <v>20</v>
      </c>
      <c r="P117" s="21">
        <v>100</v>
      </c>
      <c r="Q117" s="32">
        <f>+O117-P117</f>
        <v>-80</v>
      </c>
      <c r="R117" s="22"/>
    </row>
    <row r="118" spans="1:18" x14ac:dyDescent="0.25">
      <c r="A118" s="21">
        <v>109231</v>
      </c>
      <c r="B118" s="21"/>
      <c r="C118" s="21">
        <v>80302</v>
      </c>
      <c r="D118" s="23" t="s">
        <v>203</v>
      </c>
      <c r="E118" s="25"/>
      <c r="F118" s="25"/>
      <c r="G118" s="25"/>
      <c r="H118" s="23"/>
      <c r="I118" s="23"/>
      <c r="J118" s="23"/>
      <c r="K118" s="23"/>
      <c r="L118" s="23"/>
      <c r="M118" s="23"/>
      <c r="N118" s="23"/>
      <c r="O118" s="21">
        <v>58</v>
      </c>
      <c r="P118" s="21">
        <v>50</v>
      </c>
      <c r="Q118" s="32">
        <f>O118-P118</f>
        <v>8</v>
      </c>
      <c r="R118" s="22"/>
    </row>
    <row r="119" spans="1:18" x14ac:dyDescent="0.25">
      <c r="A119" s="21">
        <v>559353</v>
      </c>
      <c r="B119" s="21"/>
      <c r="C119" s="21">
        <v>80102</v>
      </c>
      <c r="D119" s="23" t="s">
        <v>204</v>
      </c>
      <c r="E119" s="23">
        <v>1256</v>
      </c>
      <c r="F119" s="23">
        <v>1256</v>
      </c>
      <c r="G119" s="23">
        <v>1256</v>
      </c>
      <c r="H119" s="23">
        <v>1248</v>
      </c>
      <c r="I119" s="23">
        <v>1248</v>
      </c>
      <c r="J119" s="23">
        <v>300</v>
      </c>
      <c r="K119" s="23">
        <v>1000</v>
      </c>
      <c r="L119" s="23">
        <v>984</v>
      </c>
      <c r="M119" s="23">
        <v>300</v>
      </c>
      <c r="N119" s="23">
        <f>300-8</f>
        <v>292</v>
      </c>
      <c r="O119" s="21">
        <v>245</v>
      </c>
      <c r="P119" s="21">
        <v>300</v>
      </c>
      <c r="Q119" s="32">
        <f t="shared" ref="Q119:Q127" si="6">+O119-P119</f>
        <v>-55</v>
      </c>
      <c r="R119" s="22"/>
    </row>
    <row r="120" spans="1:18" x14ac:dyDescent="0.25">
      <c r="A120" s="21">
        <v>556209</v>
      </c>
      <c r="B120" s="21"/>
      <c r="C120" s="21">
        <v>80102</v>
      </c>
      <c r="D120" s="23" t="s">
        <v>205</v>
      </c>
      <c r="E120" s="23">
        <v>400</v>
      </c>
      <c r="F120" s="23">
        <v>400</v>
      </c>
      <c r="G120" s="23">
        <v>400</v>
      </c>
      <c r="H120" s="23">
        <v>340</v>
      </c>
      <c r="I120" s="23">
        <v>400</v>
      </c>
      <c r="J120" s="23">
        <v>321</v>
      </c>
      <c r="K120" s="23">
        <v>303</v>
      </c>
      <c r="L120" s="23">
        <v>303</v>
      </c>
      <c r="M120" s="23">
        <v>300</v>
      </c>
      <c r="N120" s="23">
        <v>300</v>
      </c>
      <c r="O120" s="21">
        <v>50</v>
      </c>
      <c r="P120" s="21">
        <v>100</v>
      </c>
      <c r="Q120" s="32">
        <f t="shared" si="6"/>
        <v>-50</v>
      </c>
      <c r="R120" s="22"/>
    </row>
    <row r="121" spans="1:18" x14ac:dyDescent="0.25">
      <c r="A121" s="21">
        <v>596247</v>
      </c>
      <c r="B121" s="21"/>
      <c r="C121" s="21">
        <v>80202</v>
      </c>
      <c r="D121" s="23" t="s">
        <v>206</v>
      </c>
      <c r="E121" s="23">
        <v>150</v>
      </c>
      <c r="F121" s="23">
        <v>150</v>
      </c>
      <c r="G121" s="23">
        <v>150</v>
      </c>
      <c r="H121" s="23">
        <v>200</v>
      </c>
      <c r="I121" s="23">
        <v>117</v>
      </c>
      <c r="J121" s="23">
        <v>153</v>
      </c>
      <c r="K121" s="23">
        <v>200</v>
      </c>
      <c r="L121" s="23">
        <v>170</v>
      </c>
      <c r="M121" s="23">
        <v>150</v>
      </c>
      <c r="N121" s="23">
        <v>100</v>
      </c>
      <c r="O121" s="21">
        <v>20</v>
      </c>
      <c r="P121" s="21">
        <v>300</v>
      </c>
      <c r="Q121" s="32">
        <f t="shared" si="6"/>
        <v>-280</v>
      </c>
      <c r="R121" s="22"/>
    </row>
    <row r="122" spans="1:18" x14ac:dyDescent="0.25">
      <c r="A122" s="21">
        <v>556027</v>
      </c>
      <c r="B122" s="21"/>
      <c r="C122" s="21">
        <v>80102</v>
      </c>
      <c r="D122" s="23" t="s">
        <v>207</v>
      </c>
      <c r="E122" s="23">
        <v>310</v>
      </c>
      <c r="F122" s="23">
        <v>310</v>
      </c>
      <c r="G122" s="23">
        <v>310</v>
      </c>
      <c r="H122" s="23">
        <v>308</v>
      </c>
      <c r="I122" s="23">
        <v>308</v>
      </c>
      <c r="J122" s="23">
        <v>307</v>
      </c>
      <c r="K122" s="23">
        <v>174</v>
      </c>
      <c r="L122" s="23">
        <v>174</v>
      </c>
      <c r="M122" s="23">
        <v>117</v>
      </c>
      <c r="N122" s="23">
        <v>117</v>
      </c>
      <c r="O122" s="21">
        <v>0</v>
      </c>
      <c r="P122" s="21">
        <v>500</v>
      </c>
      <c r="Q122" s="32">
        <f t="shared" si="6"/>
        <v>-500</v>
      </c>
      <c r="R122" s="22"/>
    </row>
    <row r="123" spans="1:18" x14ac:dyDescent="0.25">
      <c r="A123" s="21">
        <v>556050</v>
      </c>
      <c r="B123" s="21"/>
      <c r="C123" s="21">
        <v>80202</v>
      </c>
      <c r="D123" s="23" t="s">
        <v>208</v>
      </c>
      <c r="E123" s="23">
        <v>542</v>
      </c>
      <c r="F123" s="23">
        <v>542</v>
      </c>
      <c r="G123" s="23">
        <v>542</v>
      </c>
      <c r="H123" s="23">
        <v>175</v>
      </c>
      <c r="I123" s="23">
        <v>180</v>
      </c>
      <c r="J123" s="23">
        <v>620</v>
      </c>
      <c r="K123" s="23">
        <v>200</v>
      </c>
      <c r="L123" s="23">
        <v>200</v>
      </c>
      <c r="M123" s="23">
        <v>200</v>
      </c>
      <c r="N123" s="23">
        <v>250</v>
      </c>
      <c r="O123" s="21">
        <v>300</v>
      </c>
      <c r="P123" s="21">
        <v>300</v>
      </c>
      <c r="Q123" s="32">
        <f t="shared" si="6"/>
        <v>0</v>
      </c>
      <c r="R123" s="22"/>
    </row>
    <row r="124" spans="1:18" x14ac:dyDescent="0.25">
      <c r="A124" s="21">
        <v>14514</v>
      </c>
      <c r="B124" s="21"/>
      <c r="C124" s="21">
        <v>80302</v>
      </c>
      <c r="D124" s="23" t="s">
        <v>209</v>
      </c>
      <c r="E124" s="23">
        <v>150</v>
      </c>
      <c r="F124" s="23">
        <v>150</v>
      </c>
      <c r="G124" s="23">
        <v>150</v>
      </c>
      <c r="H124" s="23">
        <v>199</v>
      </c>
      <c r="I124" s="23">
        <v>199</v>
      </c>
      <c r="J124" s="23">
        <v>140</v>
      </c>
      <c r="K124" s="23">
        <v>200</v>
      </c>
      <c r="L124" s="23">
        <v>200</v>
      </c>
      <c r="M124" s="23">
        <v>250</v>
      </c>
      <c r="N124" s="23">
        <v>250</v>
      </c>
      <c r="O124" s="21">
        <v>30</v>
      </c>
      <c r="P124" s="21">
        <v>200</v>
      </c>
      <c r="Q124" s="32">
        <f t="shared" si="6"/>
        <v>-170</v>
      </c>
      <c r="R124" s="22"/>
    </row>
    <row r="125" spans="1:18" x14ac:dyDescent="0.25">
      <c r="A125" s="21">
        <v>597443</v>
      </c>
      <c r="B125" s="21"/>
      <c r="C125" s="21">
        <v>80102</v>
      </c>
      <c r="D125" s="23" t="s">
        <v>210</v>
      </c>
      <c r="E125" s="25"/>
      <c r="F125" s="25"/>
      <c r="G125" s="25"/>
      <c r="H125" s="23">
        <v>988</v>
      </c>
      <c r="I125" s="23">
        <v>1000</v>
      </c>
      <c r="J125" s="23">
        <v>1000</v>
      </c>
      <c r="K125" s="23">
        <v>1000</v>
      </c>
      <c r="L125" s="23">
        <v>1000</v>
      </c>
      <c r="M125" s="23">
        <v>1000</v>
      </c>
      <c r="N125" s="23">
        <v>1000</v>
      </c>
      <c r="O125" s="21">
        <v>210</v>
      </c>
      <c r="P125" s="21">
        <v>300</v>
      </c>
      <c r="Q125" s="32">
        <f t="shared" si="6"/>
        <v>-90</v>
      </c>
      <c r="R125" s="22"/>
    </row>
    <row r="126" spans="1:18" x14ac:dyDescent="0.25">
      <c r="A126" s="21">
        <v>556019</v>
      </c>
      <c r="B126" s="21"/>
      <c r="C126" s="21">
        <v>80202</v>
      </c>
      <c r="D126" s="23" t="s">
        <v>211</v>
      </c>
      <c r="E126" s="23">
        <v>150</v>
      </c>
      <c r="F126" s="23">
        <v>150</v>
      </c>
      <c r="G126" s="23">
        <v>150</v>
      </c>
      <c r="H126" s="23">
        <v>200</v>
      </c>
      <c r="I126" s="23">
        <v>117</v>
      </c>
      <c r="J126" s="23">
        <v>153</v>
      </c>
      <c r="K126" s="23">
        <v>200</v>
      </c>
      <c r="L126" s="23">
        <v>170</v>
      </c>
      <c r="M126" s="23">
        <v>150</v>
      </c>
      <c r="N126" s="23">
        <v>100</v>
      </c>
      <c r="O126" s="21">
        <v>300</v>
      </c>
      <c r="P126" s="21">
        <v>300</v>
      </c>
      <c r="Q126" s="32">
        <f t="shared" si="6"/>
        <v>0</v>
      </c>
      <c r="R126" s="22"/>
    </row>
    <row r="127" spans="1:18" x14ac:dyDescent="0.25">
      <c r="A127" s="21">
        <v>110726</v>
      </c>
      <c r="B127" s="21"/>
      <c r="C127" s="21">
        <v>80202</v>
      </c>
      <c r="D127" s="23" t="s">
        <v>212</v>
      </c>
      <c r="E127" s="23">
        <v>200</v>
      </c>
      <c r="F127" s="23">
        <v>200</v>
      </c>
      <c r="G127" s="23">
        <v>200</v>
      </c>
      <c r="H127" s="23">
        <v>184</v>
      </c>
      <c r="I127" s="23">
        <v>200</v>
      </c>
      <c r="J127" s="23">
        <v>137</v>
      </c>
      <c r="K127" s="23">
        <v>200</v>
      </c>
      <c r="L127" s="23">
        <v>200</v>
      </c>
      <c r="M127" s="23">
        <v>200</v>
      </c>
      <c r="N127" s="23">
        <v>184</v>
      </c>
      <c r="O127" s="21">
        <v>200</v>
      </c>
      <c r="P127" s="21">
        <v>200</v>
      </c>
      <c r="Q127" s="32">
        <f t="shared" si="6"/>
        <v>0</v>
      </c>
      <c r="R127" s="22"/>
    </row>
    <row r="128" spans="1:18" x14ac:dyDescent="0.25">
      <c r="A128" s="21">
        <v>556175</v>
      </c>
      <c r="B128" s="21"/>
      <c r="C128" s="21">
        <v>81004</v>
      </c>
      <c r="D128" s="23" t="s">
        <v>213</v>
      </c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1">
        <v>50</v>
      </c>
      <c r="P128" s="21">
        <v>50</v>
      </c>
      <c r="Q128" s="32">
        <f>O128-P128</f>
        <v>0</v>
      </c>
      <c r="R128" s="22"/>
    </row>
    <row r="129" spans="1:18" x14ac:dyDescent="0.25">
      <c r="A129" s="21">
        <v>753383</v>
      </c>
      <c r="B129" s="21"/>
      <c r="C129" s="22">
        <v>81004</v>
      </c>
      <c r="D129" s="23" t="s">
        <v>214</v>
      </c>
      <c r="E129" s="41">
        <v>69</v>
      </c>
      <c r="F129" s="41">
        <v>69</v>
      </c>
      <c r="G129" s="41">
        <v>69</v>
      </c>
      <c r="H129" s="41">
        <v>729</v>
      </c>
      <c r="I129" s="41">
        <f>660+69</f>
        <v>729</v>
      </c>
      <c r="J129" s="41">
        <f>660+69</f>
        <v>729</v>
      </c>
      <c r="K129" s="41">
        <v>729</v>
      </c>
      <c r="L129" s="41">
        <v>729</v>
      </c>
      <c r="M129" s="41">
        <v>649</v>
      </c>
      <c r="N129" s="41">
        <v>649</v>
      </c>
      <c r="O129" s="21">
        <v>200</v>
      </c>
      <c r="P129" s="21">
        <v>200</v>
      </c>
      <c r="Q129" s="32">
        <f>+O129-P129</f>
        <v>0</v>
      </c>
      <c r="R129" s="22"/>
    </row>
    <row r="130" spans="1:18" x14ac:dyDescent="0.25">
      <c r="A130" s="21">
        <v>138933</v>
      </c>
      <c r="B130" s="21"/>
      <c r="C130" s="22">
        <v>81004</v>
      </c>
      <c r="D130" s="23" t="s">
        <v>215</v>
      </c>
      <c r="E130" s="41">
        <v>266</v>
      </c>
      <c r="F130" s="41">
        <v>266</v>
      </c>
      <c r="G130" s="41">
        <v>266</v>
      </c>
      <c r="H130" s="41">
        <v>266</v>
      </c>
      <c r="I130" s="41">
        <v>470</v>
      </c>
      <c r="J130" s="41">
        <v>432</v>
      </c>
      <c r="K130" s="41">
        <v>389</v>
      </c>
      <c r="L130" s="41">
        <v>389</v>
      </c>
      <c r="M130" s="41">
        <v>258</v>
      </c>
      <c r="N130" s="41">
        <v>258</v>
      </c>
      <c r="O130" s="21">
        <v>50</v>
      </c>
      <c r="P130" s="21">
        <v>50</v>
      </c>
      <c r="Q130" s="32">
        <f>+O130-P130</f>
        <v>0</v>
      </c>
      <c r="R130" s="22"/>
    </row>
    <row r="131" spans="1:18" x14ac:dyDescent="0.25">
      <c r="A131" s="21"/>
      <c r="B131" s="21"/>
      <c r="C131" s="21"/>
      <c r="D131" s="23"/>
      <c r="O131" s="21"/>
      <c r="P131" s="21"/>
      <c r="Q131" s="32"/>
      <c r="R131" s="22"/>
    </row>
    <row r="132" spans="1:18" x14ac:dyDescent="0.25">
      <c r="A132" s="21"/>
      <c r="B132" s="21"/>
      <c r="C132" s="21"/>
      <c r="D132" s="23"/>
      <c r="O132" s="21"/>
      <c r="P132" s="21"/>
      <c r="Q132" s="32"/>
      <c r="R132" s="22"/>
    </row>
    <row r="133" spans="1:18" x14ac:dyDescent="0.25">
      <c r="A133" s="21"/>
      <c r="B133" s="21"/>
      <c r="C133" s="21"/>
      <c r="D133" s="23"/>
      <c r="O133" s="21"/>
      <c r="P133" s="21"/>
      <c r="Q133" s="32"/>
      <c r="R133" s="22"/>
    </row>
    <row r="134" spans="1:18" x14ac:dyDescent="0.25">
      <c r="A134" s="21"/>
      <c r="B134" s="21"/>
      <c r="C134" s="21"/>
      <c r="D134" s="23"/>
      <c r="O134" s="21"/>
      <c r="P134" s="21"/>
      <c r="Q134" s="32"/>
      <c r="R134" s="22"/>
    </row>
    <row r="135" spans="1:18" x14ac:dyDescent="0.25">
      <c r="A135" s="21"/>
      <c r="B135" s="21"/>
      <c r="C135" s="21"/>
      <c r="D135" s="23"/>
      <c r="O135" s="21"/>
      <c r="P135" s="21"/>
      <c r="Q135" s="32"/>
      <c r="R135" s="22"/>
    </row>
    <row r="136" spans="1:18" x14ac:dyDescent="0.25">
      <c r="A136" s="21"/>
      <c r="B136" s="21"/>
      <c r="C136" s="21"/>
      <c r="D136" s="23"/>
      <c r="O136" s="21"/>
      <c r="P136" s="21"/>
      <c r="Q136" s="32"/>
      <c r="R136" s="22"/>
    </row>
    <row r="137" spans="1:18" x14ac:dyDescent="0.25">
      <c r="A137" s="21"/>
      <c r="B137" s="21"/>
      <c r="C137" s="21"/>
      <c r="D137" s="23"/>
      <c r="O137" s="21"/>
      <c r="P137" s="21"/>
      <c r="Q137" s="32"/>
      <c r="R137" s="22"/>
    </row>
    <row r="138" spans="1:18" x14ac:dyDescent="0.25">
      <c r="A138" s="21"/>
      <c r="B138" s="21"/>
      <c r="C138" s="21"/>
      <c r="D138" s="23"/>
      <c r="O138" s="21"/>
      <c r="P138" s="21"/>
      <c r="Q138" s="32"/>
      <c r="R138" s="22"/>
    </row>
    <row r="1048500" spans="13:15" x14ac:dyDescent="0.25">
      <c r="M1048500" s="19">
        <v>73</v>
      </c>
      <c r="N1048500" s="19">
        <v>73</v>
      </c>
      <c r="O1048500" s="17">
        <v>73</v>
      </c>
    </row>
  </sheetData>
  <autoFilter ref="A1:Q1048504" xr:uid="{00000000-0009-0000-0000-000001000000}">
    <sortState xmlns:xlrd2="http://schemas.microsoft.com/office/spreadsheetml/2017/richdata2" ref="A2:Q1048500">
      <sortCondition ref="D1:D1048504"/>
    </sortState>
  </autoFilter>
  <pageMargins left="0.7" right="0.7" top="0.75" bottom="0.75" header="0.511811023622047" footer="0.511811023622047"/>
  <pageSetup orientation="landscape" horizontalDpi="300" verticalDpi="300" r:id="rId1"/>
  <ignoredErrors>
    <ignoredError sqref="Q117 Q128 Q109 Q115 Q93 Q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VARIOS</vt:lpstr>
      <vt:lpstr>PERNERIA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 Palacios</dc:creator>
  <cp:keywords/>
  <dc:description/>
  <cp:lastModifiedBy>Venta14</cp:lastModifiedBy>
  <cp:revision>58</cp:revision>
  <dcterms:created xsi:type="dcterms:W3CDTF">2024-01-18T19:48:44Z</dcterms:created>
  <dcterms:modified xsi:type="dcterms:W3CDTF">2026-05-22T00:08:19Z</dcterms:modified>
  <cp:category/>
  <cp:contentStatus/>
</cp:coreProperties>
</file>