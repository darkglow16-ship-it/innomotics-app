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robar\OneDrive\Escritorio\RESPALDO\REPUESTOS\"/>
    </mc:Choice>
  </mc:AlternateContent>
  <xr:revisionPtr revIDLastSave="0" documentId="8_{35A33727-C066-4C4A-94ED-E270AA46D63A}" xr6:coauthVersionLast="47" xr6:coauthVersionMax="47" xr10:uidLastSave="{00000000-0000-0000-0000-000000000000}"/>
  <bookViews>
    <workbookView xWindow="-120" yWindow="-120" windowWidth="29040" windowHeight="15840" tabRatio="919" firstSheet="8" activeTab="8" xr2:uid="{00000000-000D-0000-FFFF-FFFF00000000}"/>
  </bookViews>
  <sheets>
    <sheet name="Matriz de riesgo SD" sheetId="1" r:id="rId1"/>
    <sheet name="Tareas" sheetId="2" r:id="rId2"/>
    <sheet name="Proceso" sheetId="3" state="veryHidden" r:id="rId3"/>
    <sheet name="Areas" sheetId="4" state="veryHidden" r:id="rId4"/>
    <sheet name="Responsables" sheetId="5" state="veryHidden" r:id="rId5"/>
    <sheet name="Actividades" sheetId="6" r:id="rId6"/>
    <sheet name="Grafico" sheetId="11" r:id="rId7"/>
    <sheet name="MATRIZ REPUESTOS LUBRICACION" sheetId="25" r:id="rId8"/>
    <sheet name="Matriz Rep. Mec." sheetId="21" r:id="rId9"/>
    <sheet name="MATRIZ REPUESTOS ELEC. INSTRU." sheetId="24" r:id="rId10"/>
    <sheet name="FODA" sheetId="26" r:id="rId11"/>
    <sheet name="STOCK CODE" sheetId="23" r:id="rId12"/>
    <sheet name="Data" sheetId="9" state="hidden" r:id="rId13"/>
    <sheet name="Activo" sheetId="7" state="veryHidden" r:id="rId14"/>
  </sheets>
  <externalReferences>
    <externalReference r:id="rId15"/>
    <externalReference r:id="rId16"/>
    <externalReference r:id="rId17"/>
    <externalReference r:id="rId18"/>
    <externalReference r:id="rId19"/>
    <externalReference r:id="rId20"/>
  </externalReferences>
  <definedNames>
    <definedName name="_xlnm._FilterDatabase" localSheetId="10" hidden="1">FODA!$A$5:$M$143</definedName>
    <definedName name="_xlnm._FilterDatabase" localSheetId="8" hidden="1">'Matriz Rep. Mec.'!$B$16:$P$238</definedName>
    <definedName name="_xlnm._FilterDatabase" localSheetId="9" hidden="1">'MATRIZ REPUESTOS ELEC. INSTRU.'!$A$16:$R$57</definedName>
    <definedName name="_xlnm._FilterDatabase" localSheetId="7" hidden="1">'MATRIZ REPUESTOS LUBRICACION'!$A$16:$R$32</definedName>
    <definedName name="_xlnm.Print_Area" localSheetId="8">'Matriz Rep. Mec.'!$A$1:$Q$239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2" i="24" l="1"/>
  <c r="D43" i="24"/>
  <c r="D44" i="24"/>
  <c r="D45" i="24"/>
  <c r="D46" i="24"/>
  <c r="D47" i="24"/>
  <c r="D48" i="24"/>
  <c r="D49" i="24"/>
  <c r="D50" i="24"/>
  <c r="D51" i="24"/>
  <c r="D52" i="24"/>
  <c r="D53" i="24"/>
  <c r="D54" i="24"/>
  <c r="D55" i="24"/>
  <c r="D56" i="24"/>
  <c r="D57" i="24"/>
  <c r="D41" i="24"/>
  <c r="D19" i="24"/>
  <c r="D20" i="24"/>
  <c r="D21" i="24"/>
  <c r="D22" i="24"/>
  <c r="D23" i="24"/>
  <c r="D24" i="24"/>
  <c r="D25" i="24"/>
  <c r="D26" i="24"/>
  <c r="D27" i="24"/>
  <c r="D28" i="24"/>
  <c r="D29" i="24"/>
  <c r="D30" i="24"/>
  <c r="D31" i="24"/>
  <c r="D32" i="24"/>
  <c r="D33" i="24"/>
  <c r="D34" i="24"/>
  <c r="D35" i="24"/>
  <c r="D36" i="24"/>
  <c r="D37" i="24"/>
  <c r="D38" i="24"/>
  <c r="D39" i="24"/>
  <c r="D18" i="24"/>
  <c r="D19" i="25"/>
  <c r="D20" i="25"/>
  <c r="D21" i="25"/>
  <c r="D22" i="25"/>
  <c r="D23" i="25"/>
  <c r="D24" i="25"/>
  <c r="D25" i="25"/>
  <c r="D26" i="25"/>
  <c r="D27" i="25"/>
  <c r="D28" i="25"/>
  <c r="D29" i="25"/>
  <c r="D30" i="25"/>
  <c r="D31" i="25"/>
  <c r="D32" i="25"/>
  <c r="D18" i="25"/>
  <c r="D29" i="21"/>
  <c r="D138" i="21" l="1"/>
  <c r="D139" i="21"/>
  <c r="D140" i="21"/>
  <c r="D141" i="21"/>
  <c r="D142" i="21"/>
  <c r="D143" i="21"/>
  <c r="D144" i="21"/>
  <c r="D145" i="21"/>
  <c r="F145" i="21" s="1"/>
  <c r="D146" i="21"/>
  <c r="D147" i="21"/>
  <c r="D148" i="21"/>
  <c r="D149" i="21"/>
  <c r="D150" i="21"/>
  <c r="D151" i="21"/>
  <c r="D153" i="21"/>
  <c r="D154" i="21"/>
  <c r="D155" i="21"/>
  <c r="D156" i="21"/>
  <c r="D157" i="21"/>
  <c r="D158" i="21"/>
  <c r="D159" i="21"/>
  <c r="D160" i="21"/>
  <c r="D164" i="21"/>
  <c r="D130" i="21"/>
  <c r="F130" i="21" s="1"/>
  <c r="D131" i="21"/>
  <c r="F131" i="21" s="1"/>
  <c r="D78" i="21"/>
  <c r="F78" i="21" s="1"/>
  <c r="D79" i="21"/>
  <c r="F79" i="21" s="1"/>
  <c r="D80" i="21"/>
  <c r="F80" i="21" s="1"/>
  <c r="D81" i="21"/>
  <c r="F81" i="21" s="1"/>
  <c r="D82" i="21"/>
  <c r="D55" i="21"/>
  <c r="D32" i="21"/>
  <c r="D33" i="21"/>
  <c r="D34" i="21"/>
  <c r="D35" i="21"/>
  <c r="D36" i="21"/>
  <c r="D37" i="21"/>
  <c r="D38" i="21"/>
  <c r="D39" i="21"/>
  <c r="D40" i="21"/>
  <c r="D41" i="21"/>
  <c r="D42" i="21"/>
  <c r="D43" i="21"/>
  <c r="D44" i="21"/>
  <c r="D45" i="21"/>
  <c r="D46" i="21"/>
  <c r="D47" i="21"/>
  <c r="D48" i="21"/>
  <c r="D49" i="21"/>
  <c r="D50" i="21"/>
  <c r="D51" i="21"/>
  <c r="D52" i="21"/>
  <c r="D53" i="21"/>
  <c r="D56" i="21"/>
  <c r="D57" i="21"/>
  <c r="D58" i="21"/>
  <c r="D59" i="21"/>
  <c r="D60" i="21"/>
  <c r="D61" i="21"/>
  <c r="D62" i="21"/>
  <c r="D63" i="21"/>
  <c r="D64" i="21"/>
  <c r="D65" i="21"/>
  <c r="D66" i="21"/>
  <c r="D67" i="21"/>
  <c r="D68" i="21"/>
  <c r="D69" i="21"/>
  <c r="D70" i="21"/>
  <c r="D71" i="21"/>
  <c r="D72" i="21"/>
  <c r="D19" i="21"/>
  <c r="D20" i="21"/>
  <c r="D21" i="21"/>
  <c r="D22" i="21"/>
  <c r="D23" i="21"/>
  <c r="D25" i="21"/>
  <c r="D26" i="21"/>
  <c r="D27" i="21"/>
  <c r="D28" i="21"/>
  <c r="D18" i="21"/>
  <c r="K31" i="25"/>
  <c r="I31" i="25"/>
  <c r="M31" i="25" s="1"/>
  <c r="F31" i="25"/>
  <c r="K30" i="25"/>
  <c r="I30" i="25"/>
  <c r="M30" i="25" s="1"/>
  <c r="F30" i="25"/>
  <c r="K29" i="25"/>
  <c r="I29" i="25"/>
  <c r="F29" i="25"/>
  <c r="K28" i="25"/>
  <c r="I28" i="25"/>
  <c r="M28" i="25" s="1"/>
  <c r="F28" i="25"/>
  <c r="K27" i="25"/>
  <c r="I27" i="25"/>
  <c r="M27" i="25" s="1"/>
  <c r="F27" i="25"/>
  <c r="K26" i="25"/>
  <c r="I26" i="25"/>
  <c r="M26" i="25" s="1"/>
  <c r="F26" i="25"/>
  <c r="K25" i="25"/>
  <c r="I25" i="25"/>
  <c r="F25" i="25"/>
  <c r="K24" i="25"/>
  <c r="I24" i="25"/>
  <c r="M24" i="25" s="1"/>
  <c r="F24" i="25"/>
  <c r="K23" i="25"/>
  <c r="I23" i="25"/>
  <c r="M23" i="25" s="1"/>
  <c r="F23" i="25"/>
  <c r="K32" i="25"/>
  <c r="I32" i="25"/>
  <c r="F32" i="25"/>
  <c r="K22" i="25"/>
  <c r="I22" i="25"/>
  <c r="M22" i="25" s="1"/>
  <c r="E22" i="25"/>
  <c r="F22" i="25" s="1"/>
  <c r="K21" i="25"/>
  <c r="I21" i="25"/>
  <c r="M21" i="25" s="1"/>
  <c r="E21" i="25"/>
  <c r="F21" i="25" s="1"/>
  <c r="K20" i="25"/>
  <c r="P20" i="25" s="1"/>
  <c r="I20" i="25"/>
  <c r="M20" i="25" s="1"/>
  <c r="E20" i="25"/>
  <c r="F20" i="25" s="1"/>
  <c r="K19" i="25"/>
  <c r="I19" i="25"/>
  <c r="M19" i="25" s="1"/>
  <c r="E19" i="25"/>
  <c r="F19" i="25" s="1"/>
  <c r="K18" i="25"/>
  <c r="I18" i="25"/>
  <c r="M18" i="25" s="1"/>
  <c r="E18" i="25"/>
  <c r="F18" i="25" s="1"/>
  <c r="L17" i="25"/>
  <c r="F13" i="25"/>
  <c r="G12" i="25"/>
  <c r="F12" i="25"/>
  <c r="G11" i="25"/>
  <c r="L8" i="25"/>
  <c r="K57" i="24"/>
  <c r="I57" i="24"/>
  <c r="M57" i="24" s="1"/>
  <c r="F57" i="24"/>
  <c r="K56" i="24"/>
  <c r="I56" i="24"/>
  <c r="M56" i="24" s="1"/>
  <c r="F56" i="24"/>
  <c r="K55" i="24"/>
  <c r="I55" i="24"/>
  <c r="M55" i="24" s="1"/>
  <c r="F55" i="24"/>
  <c r="K54" i="24"/>
  <c r="I54" i="24"/>
  <c r="F54" i="24"/>
  <c r="K53" i="24"/>
  <c r="I53" i="24"/>
  <c r="F53" i="24"/>
  <c r="K52" i="24"/>
  <c r="I52" i="24"/>
  <c r="M52" i="24" s="1"/>
  <c r="F52" i="24"/>
  <c r="K51" i="24"/>
  <c r="I51" i="24"/>
  <c r="M51" i="24" s="1"/>
  <c r="F51" i="24"/>
  <c r="K50" i="24"/>
  <c r="P50" i="24" s="1"/>
  <c r="I50" i="24"/>
  <c r="M50" i="24" s="1"/>
  <c r="F50" i="24"/>
  <c r="K49" i="24"/>
  <c r="I49" i="24"/>
  <c r="P49" i="24" s="1"/>
  <c r="F49" i="24"/>
  <c r="K48" i="24"/>
  <c r="I48" i="24"/>
  <c r="M48" i="24" s="1"/>
  <c r="F48" i="24"/>
  <c r="K47" i="24"/>
  <c r="I47" i="24"/>
  <c r="M47" i="24" s="1"/>
  <c r="F47" i="24"/>
  <c r="K46" i="24"/>
  <c r="P46" i="24" s="1"/>
  <c r="I46" i="24"/>
  <c r="M46" i="24" s="1"/>
  <c r="F46" i="24"/>
  <c r="K45" i="24"/>
  <c r="I45" i="24"/>
  <c r="F45" i="24"/>
  <c r="K44" i="24"/>
  <c r="I44" i="24"/>
  <c r="M44" i="24" s="1"/>
  <c r="F44" i="24"/>
  <c r="K43" i="24"/>
  <c r="I43" i="24"/>
  <c r="M43" i="24" s="1"/>
  <c r="F43" i="24"/>
  <c r="P42" i="24"/>
  <c r="K42" i="24"/>
  <c r="I42" i="24"/>
  <c r="M42" i="24" s="1"/>
  <c r="F42" i="24"/>
  <c r="K41" i="24"/>
  <c r="I41" i="24"/>
  <c r="F41" i="24"/>
  <c r="L40" i="24"/>
  <c r="M39" i="24"/>
  <c r="K39" i="24"/>
  <c r="I39" i="24"/>
  <c r="F39" i="24"/>
  <c r="K38" i="24"/>
  <c r="P38" i="24" s="1"/>
  <c r="I38" i="24"/>
  <c r="M38" i="24" s="1"/>
  <c r="F38" i="24"/>
  <c r="K37" i="24"/>
  <c r="I37" i="24"/>
  <c r="M37" i="24" s="1"/>
  <c r="F37" i="24"/>
  <c r="K36" i="24"/>
  <c r="I36" i="24"/>
  <c r="M36" i="24" s="1"/>
  <c r="F36" i="24"/>
  <c r="K35" i="24"/>
  <c r="I35" i="24"/>
  <c r="M35" i="24" s="1"/>
  <c r="E35" i="24"/>
  <c r="F35" i="24" s="1"/>
  <c r="K34" i="24"/>
  <c r="P34" i="24" s="1"/>
  <c r="I34" i="24"/>
  <c r="M34" i="24" s="1"/>
  <c r="E34" i="24"/>
  <c r="F34" i="24" s="1"/>
  <c r="K33" i="24"/>
  <c r="I33" i="24"/>
  <c r="M33" i="24" s="1"/>
  <c r="E33" i="24"/>
  <c r="F33" i="24" s="1"/>
  <c r="K32" i="24"/>
  <c r="I32" i="24"/>
  <c r="M32" i="24" s="1"/>
  <c r="E32" i="24"/>
  <c r="F32" i="24" s="1"/>
  <c r="K31" i="24"/>
  <c r="I31" i="24"/>
  <c r="M31" i="24" s="1"/>
  <c r="E31" i="24"/>
  <c r="F31" i="24" s="1"/>
  <c r="K30" i="24"/>
  <c r="I30" i="24"/>
  <c r="M30" i="24" s="1"/>
  <c r="F30" i="24"/>
  <c r="E30" i="24"/>
  <c r="K29" i="24"/>
  <c r="I29" i="24"/>
  <c r="M29" i="24" s="1"/>
  <c r="E29" i="24"/>
  <c r="F29" i="24" s="1"/>
  <c r="K28" i="24"/>
  <c r="I28" i="24"/>
  <c r="M28" i="24" s="1"/>
  <c r="E28" i="24"/>
  <c r="F28" i="24" s="1"/>
  <c r="K27" i="24"/>
  <c r="I27" i="24"/>
  <c r="M27" i="24" s="1"/>
  <c r="E27" i="24"/>
  <c r="F27" i="24" s="1"/>
  <c r="K26" i="24"/>
  <c r="I26" i="24"/>
  <c r="M26" i="24" s="1"/>
  <c r="F26" i="24"/>
  <c r="K25" i="24"/>
  <c r="I25" i="24"/>
  <c r="M25" i="24" s="1"/>
  <c r="F25" i="24"/>
  <c r="K24" i="24"/>
  <c r="I24" i="24"/>
  <c r="M24" i="24" s="1"/>
  <c r="F24" i="24"/>
  <c r="K23" i="24"/>
  <c r="I23" i="24"/>
  <c r="M23" i="24" s="1"/>
  <c r="F23" i="24"/>
  <c r="K22" i="24"/>
  <c r="I22" i="24"/>
  <c r="M22" i="24" s="1"/>
  <c r="F22" i="24"/>
  <c r="K21" i="24"/>
  <c r="I21" i="24"/>
  <c r="M21" i="24" s="1"/>
  <c r="F21" i="24"/>
  <c r="K20" i="24"/>
  <c r="I20" i="24"/>
  <c r="M20" i="24" s="1"/>
  <c r="F20" i="24"/>
  <c r="K19" i="24"/>
  <c r="I19" i="24"/>
  <c r="M19" i="24" s="1"/>
  <c r="F19" i="24"/>
  <c r="K18" i="24"/>
  <c r="I18" i="24"/>
  <c r="M18" i="24" s="1"/>
  <c r="F18" i="24"/>
  <c r="L17" i="24"/>
  <c r="F13" i="24"/>
  <c r="G12" i="24"/>
  <c r="F12" i="24"/>
  <c r="G11" i="24"/>
  <c r="L9" i="24"/>
  <c r="L8" i="24"/>
  <c r="P54" i="24" l="1"/>
  <c r="P32" i="24"/>
  <c r="P45" i="24"/>
  <c r="M54" i="24"/>
  <c r="P24" i="24"/>
  <c r="P55" i="24"/>
  <c r="P22" i="24"/>
  <c r="P20" i="24"/>
  <c r="P52" i="24"/>
  <c r="P18" i="24"/>
  <c r="P35" i="24"/>
  <c r="P28" i="24"/>
  <c r="P25" i="24"/>
  <c r="P19" i="24"/>
  <c r="P26" i="24"/>
  <c r="P31" i="24"/>
  <c r="P22" i="25"/>
  <c r="P18" i="25"/>
  <c r="P37" i="24"/>
  <c r="P48" i="24"/>
  <c r="P23" i="24"/>
  <c r="P39" i="24"/>
  <c r="P44" i="24"/>
  <c r="P53" i="24"/>
  <c r="P57" i="24"/>
  <c r="P51" i="24"/>
  <c r="P29" i="24"/>
  <c r="P47" i="24"/>
  <c r="P21" i="24"/>
  <c r="P30" i="24"/>
  <c r="P36" i="24"/>
  <c r="I40" i="24"/>
  <c r="P43" i="24"/>
  <c r="P27" i="24"/>
  <c r="P33" i="24"/>
  <c r="P41" i="24"/>
  <c r="P56" i="24"/>
  <c r="P31" i="25"/>
  <c r="P32" i="25"/>
  <c r="P28" i="25"/>
  <c r="P27" i="25"/>
  <c r="P21" i="25"/>
  <c r="P19" i="25"/>
  <c r="P29" i="25"/>
  <c r="P26" i="25"/>
  <c r="P25" i="25"/>
  <c r="P30" i="25"/>
  <c r="M29" i="25"/>
  <c r="M25" i="25"/>
  <c r="I17" i="25"/>
  <c r="M32" i="25"/>
  <c r="P23" i="25"/>
  <c r="P24" i="25"/>
  <c r="M17" i="24"/>
  <c r="N8" i="24" s="1"/>
  <c r="M41" i="24"/>
  <c r="M45" i="24"/>
  <c r="M49" i="24"/>
  <c r="M53" i="24"/>
  <c r="I17" i="24"/>
  <c r="P40" i="24" l="1"/>
  <c r="P17" i="24"/>
  <c r="O9" i="24" s="1"/>
  <c r="M17" i="25"/>
  <c r="N8" i="25" s="1"/>
  <c r="N14" i="25" s="1"/>
  <c r="P17" i="25"/>
  <c r="O8" i="25" s="1"/>
  <c r="O14" i="25" s="1"/>
  <c r="M40" i="24"/>
  <c r="N9" i="24" s="1"/>
  <c r="N14" i="24" s="1"/>
  <c r="O8" i="24" l="1"/>
  <c r="O14" i="24" s="1"/>
  <c r="F123" i="21" l="1"/>
  <c r="F124" i="21"/>
  <c r="D137" i="21" l="1"/>
  <c r="D136" i="21"/>
  <c r="D118" i="21"/>
  <c r="D129" i="21"/>
  <c r="D133" i="21"/>
  <c r="D134" i="21"/>
  <c r="D117" i="21"/>
  <c r="D112" i="21"/>
  <c r="D113" i="21"/>
  <c r="D114" i="21"/>
  <c r="D115" i="21"/>
  <c r="D111" i="21"/>
  <c r="D104" i="21"/>
  <c r="D105" i="21"/>
  <c r="D106" i="21"/>
  <c r="D107" i="21"/>
  <c r="D108" i="21"/>
  <c r="D109" i="21"/>
  <c r="D103" i="21"/>
  <c r="D95" i="21"/>
  <c r="D96" i="21"/>
  <c r="D97" i="21"/>
  <c r="D98" i="21"/>
  <c r="D99" i="21"/>
  <c r="D100" i="21"/>
  <c r="D101" i="21"/>
  <c r="D94" i="21"/>
  <c r="D90" i="21"/>
  <c r="D91" i="21"/>
  <c r="D92" i="21"/>
  <c r="D89" i="21"/>
  <c r="D87" i="21"/>
  <c r="D86" i="21"/>
  <c r="D85" i="21"/>
  <c r="D84" i="21"/>
  <c r="D83" i="21"/>
  <c r="D77" i="21"/>
  <c r="D76" i="21"/>
  <c r="D75" i="21"/>
  <c r="D74" i="21"/>
  <c r="D31" i="21"/>
  <c r="B7" i="23"/>
  <c r="F146" i="21" l="1"/>
  <c r="I146" i="21"/>
  <c r="M146" i="21" s="1"/>
  <c r="G13" i="21" l="1"/>
  <c r="G7" i="21" l="1"/>
  <c r="K40" i="21" s="1"/>
  <c r="F137" i="21"/>
  <c r="F138" i="21"/>
  <c r="F139" i="21"/>
  <c r="F140" i="21"/>
  <c r="F141" i="21"/>
  <c r="F142" i="21"/>
  <c r="F143" i="21"/>
  <c r="F144" i="21"/>
  <c r="F147" i="21"/>
  <c r="F148" i="21"/>
  <c r="F149" i="21"/>
  <c r="F150" i="21"/>
  <c r="F151" i="21"/>
  <c r="F153" i="21"/>
  <c r="F154" i="21"/>
  <c r="F155" i="21"/>
  <c r="F156" i="21"/>
  <c r="F157" i="21"/>
  <c r="F158" i="21"/>
  <c r="F159" i="21"/>
  <c r="F160" i="21"/>
  <c r="F164" i="21"/>
  <c r="F136" i="21"/>
  <c r="F118" i="21"/>
  <c r="F119" i="21"/>
  <c r="F120" i="21"/>
  <c r="F121" i="21"/>
  <c r="F122" i="21"/>
  <c r="F129" i="21"/>
  <c r="F133" i="21"/>
  <c r="F134" i="21"/>
  <c r="F117" i="21"/>
  <c r="F112" i="21"/>
  <c r="F113" i="21"/>
  <c r="F114" i="21"/>
  <c r="F115" i="21"/>
  <c r="F111" i="21"/>
  <c r="F104" i="21"/>
  <c r="F105" i="21"/>
  <c r="F106" i="21"/>
  <c r="F107" i="21"/>
  <c r="F108" i="21"/>
  <c r="F109" i="21"/>
  <c r="F103" i="21"/>
  <c r="F95" i="21"/>
  <c r="F96" i="21"/>
  <c r="F97" i="21"/>
  <c r="F98" i="21"/>
  <c r="F99" i="21"/>
  <c r="F100" i="21"/>
  <c r="F101" i="21"/>
  <c r="F94" i="21"/>
  <c r="F90" i="21"/>
  <c r="F91" i="21"/>
  <c r="F92" i="21"/>
  <c r="F89" i="21"/>
  <c r="F75" i="21"/>
  <c r="F76" i="21"/>
  <c r="F77" i="21"/>
  <c r="F82" i="21"/>
  <c r="F83" i="21"/>
  <c r="F84" i="21"/>
  <c r="F85" i="21"/>
  <c r="F86" i="21"/>
  <c r="F87" i="21"/>
  <c r="F74" i="21"/>
  <c r="F56" i="21"/>
  <c r="F57" i="21"/>
  <c r="F58" i="21"/>
  <c r="F59" i="21"/>
  <c r="F60" i="21"/>
  <c r="F61" i="21"/>
  <c r="F62" i="21"/>
  <c r="F63" i="21"/>
  <c r="F64" i="21"/>
  <c r="F65" i="21"/>
  <c r="F66" i="21"/>
  <c r="F67" i="21"/>
  <c r="F68" i="21"/>
  <c r="F69" i="21"/>
  <c r="F70" i="21"/>
  <c r="F71" i="21"/>
  <c r="F72" i="21"/>
  <c r="F55" i="21"/>
  <c r="F32" i="21"/>
  <c r="F33" i="21"/>
  <c r="F34" i="21"/>
  <c r="F35" i="21"/>
  <c r="F36" i="21"/>
  <c r="F37" i="21"/>
  <c r="F38" i="21"/>
  <c r="F39" i="21"/>
  <c r="F40" i="21"/>
  <c r="F42" i="21"/>
  <c r="F43" i="21"/>
  <c r="F44" i="21"/>
  <c r="F45" i="21"/>
  <c r="F46" i="21"/>
  <c r="F47" i="21"/>
  <c r="F48" i="21"/>
  <c r="F49" i="21"/>
  <c r="F50" i="21"/>
  <c r="F51" i="21"/>
  <c r="F52" i="21"/>
  <c r="F53" i="21"/>
  <c r="F31" i="21"/>
  <c r="F19" i="21"/>
  <c r="F20" i="21"/>
  <c r="F21" i="21"/>
  <c r="F22" i="21"/>
  <c r="F23" i="21"/>
  <c r="F24" i="21"/>
  <c r="F25" i="21"/>
  <c r="F26" i="21"/>
  <c r="F27" i="21"/>
  <c r="F28" i="21"/>
  <c r="F29" i="21"/>
  <c r="F18" i="21"/>
  <c r="I238" i="21"/>
  <c r="M238" i="21" s="1"/>
  <c r="F238" i="21"/>
  <c r="I237" i="21"/>
  <c r="M237" i="21" s="1"/>
  <c r="F237" i="21"/>
  <c r="I236" i="21"/>
  <c r="M236" i="21" s="1"/>
  <c r="F236" i="21"/>
  <c r="I235" i="21"/>
  <c r="M235" i="21" s="1"/>
  <c r="F235" i="21"/>
  <c r="I234" i="21"/>
  <c r="M234" i="21" s="1"/>
  <c r="F234" i="21"/>
  <c r="I233" i="21"/>
  <c r="M233" i="21" s="1"/>
  <c r="F233" i="21"/>
  <c r="I232" i="21"/>
  <c r="M232" i="21" s="1"/>
  <c r="F232" i="21"/>
  <c r="I231" i="21"/>
  <c r="M231" i="21" s="1"/>
  <c r="F231" i="21"/>
  <c r="I230" i="21"/>
  <c r="F230" i="21"/>
  <c r="L229" i="21"/>
  <c r="I228" i="21"/>
  <c r="M228" i="21" s="1"/>
  <c r="F228" i="21"/>
  <c r="I227" i="21"/>
  <c r="M227" i="21" s="1"/>
  <c r="F227" i="21"/>
  <c r="I226" i="21"/>
  <c r="M226" i="21" s="1"/>
  <c r="F226" i="21"/>
  <c r="I225" i="21"/>
  <c r="M225" i="21" s="1"/>
  <c r="F225" i="21"/>
  <c r="I224" i="21"/>
  <c r="M224" i="21" s="1"/>
  <c r="F224" i="21"/>
  <c r="I222" i="21"/>
  <c r="M222" i="21" s="1"/>
  <c r="F222" i="21"/>
  <c r="I221" i="21"/>
  <c r="M221" i="21" s="1"/>
  <c r="F221" i="21"/>
  <c r="I220" i="21"/>
  <c r="F220" i="21"/>
  <c r="I219" i="21"/>
  <c r="M219" i="21" s="1"/>
  <c r="F219" i="21"/>
  <c r="I218" i="21"/>
  <c r="M218" i="21" s="1"/>
  <c r="F218" i="21"/>
  <c r="L217" i="21"/>
  <c r="I216" i="21"/>
  <c r="M216" i="21" s="1"/>
  <c r="F216" i="21"/>
  <c r="I215" i="21"/>
  <c r="M215" i="21" s="1"/>
  <c r="F215" i="21"/>
  <c r="I214" i="21"/>
  <c r="M214" i="21" s="1"/>
  <c r="F214" i="21"/>
  <c r="I213" i="21"/>
  <c r="M213" i="21" s="1"/>
  <c r="F213" i="21"/>
  <c r="I212" i="21"/>
  <c r="M212" i="21" s="1"/>
  <c r="F212" i="21"/>
  <c r="I211" i="21"/>
  <c r="M211" i="21" s="1"/>
  <c r="F211" i="21"/>
  <c r="I210" i="21"/>
  <c r="M210" i="21" s="1"/>
  <c r="F210" i="21"/>
  <c r="I209" i="21"/>
  <c r="M209" i="21" s="1"/>
  <c r="F209" i="21"/>
  <c r="I208" i="21"/>
  <c r="M208" i="21" s="1"/>
  <c r="F208" i="21"/>
  <c r="I207" i="21"/>
  <c r="M207" i="21" s="1"/>
  <c r="F207" i="21"/>
  <c r="I206" i="21"/>
  <c r="M206" i="21" s="1"/>
  <c r="F206" i="21"/>
  <c r="I205" i="21"/>
  <c r="M205" i="21" s="1"/>
  <c r="F205" i="21"/>
  <c r="I204" i="21"/>
  <c r="M204" i="21" s="1"/>
  <c r="F204" i="21"/>
  <c r="I203" i="21"/>
  <c r="M203" i="21" s="1"/>
  <c r="F203" i="21"/>
  <c r="I202" i="21"/>
  <c r="M202" i="21" s="1"/>
  <c r="F202" i="21"/>
  <c r="I201" i="21"/>
  <c r="M201" i="21" s="1"/>
  <c r="F201" i="21"/>
  <c r="I200" i="21"/>
  <c r="M200" i="21" s="1"/>
  <c r="F200" i="21"/>
  <c r="I199" i="21"/>
  <c r="M199" i="21" s="1"/>
  <c r="F199" i="21"/>
  <c r="I198" i="21"/>
  <c r="M198" i="21" s="1"/>
  <c r="F198" i="21"/>
  <c r="L197" i="21"/>
  <c r="I196" i="21"/>
  <c r="M196" i="21" s="1"/>
  <c r="F196" i="21"/>
  <c r="I195" i="21"/>
  <c r="M195" i="21" s="1"/>
  <c r="F195" i="21"/>
  <c r="I194" i="21"/>
  <c r="M194" i="21" s="1"/>
  <c r="F194" i="21"/>
  <c r="I193" i="21"/>
  <c r="M193" i="21" s="1"/>
  <c r="F193" i="21"/>
  <c r="I192" i="21"/>
  <c r="M192" i="21" s="1"/>
  <c r="F192" i="21"/>
  <c r="I191" i="21"/>
  <c r="M191" i="21" s="1"/>
  <c r="F191" i="21"/>
  <c r="I190" i="21"/>
  <c r="M190" i="21" s="1"/>
  <c r="F190" i="21"/>
  <c r="I189" i="21"/>
  <c r="M189" i="21" s="1"/>
  <c r="F189" i="21"/>
  <c r="I188" i="21"/>
  <c r="M188" i="21" s="1"/>
  <c r="F188" i="21"/>
  <c r="I187" i="21"/>
  <c r="M187" i="21" s="1"/>
  <c r="F187" i="21"/>
  <c r="I186" i="21"/>
  <c r="M186" i="21" s="1"/>
  <c r="F186" i="21"/>
  <c r="I185" i="21"/>
  <c r="M185" i="21" s="1"/>
  <c r="F185" i="21"/>
  <c r="I184" i="21"/>
  <c r="M184" i="21" s="1"/>
  <c r="F184" i="21"/>
  <c r="I183" i="21"/>
  <c r="M183" i="21" s="1"/>
  <c r="F183" i="21"/>
  <c r="I182" i="21"/>
  <c r="M182" i="21" s="1"/>
  <c r="F182" i="21"/>
  <c r="I181" i="21"/>
  <c r="M181" i="21" s="1"/>
  <c r="F181" i="21"/>
  <c r="I180" i="21"/>
  <c r="M180" i="21" s="1"/>
  <c r="F180" i="21"/>
  <c r="I179" i="21"/>
  <c r="M179" i="21" s="1"/>
  <c r="F179" i="21"/>
  <c r="I178" i="21"/>
  <c r="M178" i="21" s="1"/>
  <c r="F178" i="21"/>
  <c r="I177" i="21"/>
  <c r="M177" i="21" s="1"/>
  <c r="F177" i="21"/>
  <c r="I176" i="21"/>
  <c r="M176" i="21" s="1"/>
  <c r="F176" i="21"/>
  <c r="I175" i="21"/>
  <c r="M175" i="21" s="1"/>
  <c r="F175" i="21"/>
  <c r="I174" i="21"/>
  <c r="M174" i="21" s="1"/>
  <c r="F174" i="21"/>
  <c r="I173" i="21"/>
  <c r="M173" i="21" s="1"/>
  <c r="F173" i="21"/>
  <c r="I172" i="21"/>
  <c r="M172" i="21" s="1"/>
  <c r="F172" i="21"/>
  <c r="I171" i="21"/>
  <c r="M171" i="21" s="1"/>
  <c r="F171" i="21"/>
  <c r="I170" i="21"/>
  <c r="M170" i="21" s="1"/>
  <c r="F170" i="21"/>
  <c r="I169" i="21"/>
  <c r="M169" i="21" s="1"/>
  <c r="F169" i="21"/>
  <c r="I168" i="21"/>
  <c r="M168" i="21" s="1"/>
  <c r="F168" i="21"/>
  <c r="I167" i="21"/>
  <c r="M167" i="21" s="1"/>
  <c r="F167" i="21"/>
  <c r="I166" i="21"/>
  <c r="M166" i="21" s="1"/>
  <c r="F166" i="21"/>
  <c r="L165" i="21"/>
  <c r="I164" i="21"/>
  <c r="M164" i="21" s="1"/>
  <c r="I160" i="21"/>
  <c r="M160" i="21" s="1"/>
  <c r="I159" i="21"/>
  <c r="M159" i="21" s="1"/>
  <c r="I158" i="21"/>
  <c r="M158" i="21" s="1"/>
  <c r="I157" i="21"/>
  <c r="M157" i="21" s="1"/>
  <c r="I156" i="21"/>
  <c r="M156" i="21" s="1"/>
  <c r="I155" i="21"/>
  <c r="M155" i="21" s="1"/>
  <c r="I154" i="21"/>
  <c r="M154" i="21" s="1"/>
  <c r="I153" i="21"/>
  <c r="M153" i="21" s="1"/>
  <c r="I151" i="21"/>
  <c r="M151" i="21" s="1"/>
  <c r="I150" i="21"/>
  <c r="M150" i="21" s="1"/>
  <c r="I149" i="21"/>
  <c r="M149" i="21" s="1"/>
  <c r="I148" i="21"/>
  <c r="M148" i="21" s="1"/>
  <c r="I147" i="21"/>
  <c r="M147" i="21" s="1"/>
  <c r="I144" i="21"/>
  <c r="M144" i="21" s="1"/>
  <c r="I143" i="21"/>
  <c r="M143" i="21" s="1"/>
  <c r="I142" i="21"/>
  <c r="M142" i="21" s="1"/>
  <c r="I141" i="21"/>
  <c r="M141" i="21" s="1"/>
  <c r="I140" i="21"/>
  <c r="M140" i="21" s="1"/>
  <c r="I139" i="21"/>
  <c r="M139" i="21" s="1"/>
  <c r="I138" i="21"/>
  <c r="M138" i="21" s="1"/>
  <c r="I137" i="21"/>
  <c r="M137" i="21" s="1"/>
  <c r="I136" i="21"/>
  <c r="M136" i="21" s="1"/>
  <c r="L135" i="21"/>
  <c r="I134" i="21"/>
  <c r="M134" i="21" s="1"/>
  <c r="I133" i="21"/>
  <c r="M133" i="21" s="1"/>
  <c r="I129" i="21"/>
  <c r="M129" i="21" s="1"/>
  <c r="I122" i="21"/>
  <c r="M122" i="21" s="1"/>
  <c r="I121" i="21"/>
  <c r="M121" i="21" s="1"/>
  <c r="I120" i="21"/>
  <c r="M120" i="21" s="1"/>
  <c r="I119" i="21"/>
  <c r="M119" i="21" s="1"/>
  <c r="I118" i="21"/>
  <c r="M118" i="21" s="1"/>
  <c r="I117" i="21"/>
  <c r="M117" i="21" s="1"/>
  <c r="L116" i="21"/>
  <c r="I115" i="21"/>
  <c r="M115" i="21" s="1"/>
  <c r="I114" i="21"/>
  <c r="M114" i="21" s="1"/>
  <c r="I113" i="21"/>
  <c r="I112" i="21"/>
  <c r="M112" i="21" s="1"/>
  <c r="I111" i="21"/>
  <c r="M111" i="21" s="1"/>
  <c r="L110" i="21"/>
  <c r="I109" i="21"/>
  <c r="M109" i="21" s="1"/>
  <c r="I108" i="21"/>
  <c r="M108" i="21" s="1"/>
  <c r="I107" i="21"/>
  <c r="M107" i="21" s="1"/>
  <c r="I106" i="21"/>
  <c r="M106" i="21" s="1"/>
  <c r="I105" i="21"/>
  <c r="M105" i="21" s="1"/>
  <c r="I104" i="21"/>
  <c r="M104" i="21" s="1"/>
  <c r="I103" i="21"/>
  <c r="L102" i="21"/>
  <c r="I101" i="21"/>
  <c r="M101" i="21" s="1"/>
  <c r="I100" i="21"/>
  <c r="M100" i="21" s="1"/>
  <c r="I99" i="21"/>
  <c r="M99" i="21" s="1"/>
  <c r="I98" i="21"/>
  <c r="M98" i="21" s="1"/>
  <c r="I97" i="21"/>
  <c r="M97" i="21" s="1"/>
  <c r="I96" i="21"/>
  <c r="M96" i="21" s="1"/>
  <c r="I95" i="21"/>
  <c r="M95" i="21" s="1"/>
  <c r="I94" i="21"/>
  <c r="L93" i="21"/>
  <c r="I92" i="21"/>
  <c r="I91" i="21"/>
  <c r="M91" i="21" s="1"/>
  <c r="I90" i="21"/>
  <c r="M90" i="21" s="1"/>
  <c r="I89" i="21"/>
  <c r="M89" i="21" s="1"/>
  <c r="L88" i="21"/>
  <c r="I87" i="21"/>
  <c r="M87" i="21" s="1"/>
  <c r="I86" i="21"/>
  <c r="M86" i="21" s="1"/>
  <c r="I85" i="21"/>
  <c r="M85" i="21" s="1"/>
  <c r="I84" i="21"/>
  <c r="M84" i="21" s="1"/>
  <c r="I83" i="21"/>
  <c r="M83" i="21" s="1"/>
  <c r="I82" i="21"/>
  <c r="M82" i="21" s="1"/>
  <c r="I77" i="21"/>
  <c r="M77" i="21" s="1"/>
  <c r="I76" i="21"/>
  <c r="M76" i="21" s="1"/>
  <c r="I75" i="21"/>
  <c r="I74" i="21"/>
  <c r="M74" i="21" s="1"/>
  <c r="L73" i="21"/>
  <c r="I72" i="21"/>
  <c r="M72" i="21" s="1"/>
  <c r="I71" i="21"/>
  <c r="M71" i="21" s="1"/>
  <c r="I70" i="21"/>
  <c r="M70" i="21" s="1"/>
  <c r="I69" i="21"/>
  <c r="M69" i="21" s="1"/>
  <c r="I68" i="21"/>
  <c r="M68" i="21" s="1"/>
  <c r="I67" i="21"/>
  <c r="M67" i="21" s="1"/>
  <c r="I66" i="21"/>
  <c r="M66" i="21" s="1"/>
  <c r="I65" i="21"/>
  <c r="M65" i="21" s="1"/>
  <c r="I64" i="21"/>
  <c r="M64" i="21" s="1"/>
  <c r="I63" i="21"/>
  <c r="M63" i="21" s="1"/>
  <c r="I62" i="21"/>
  <c r="M62" i="21" s="1"/>
  <c r="I61" i="21"/>
  <c r="M61" i="21" s="1"/>
  <c r="I60" i="21"/>
  <c r="M60" i="21" s="1"/>
  <c r="I59" i="21"/>
  <c r="M59" i="21" s="1"/>
  <c r="I58" i="21"/>
  <c r="M58" i="21" s="1"/>
  <c r="I57" i="21"/>
  <c r="M57" i="21" s="1"/>
  <c r="I56" i="21"/>
  <c r="M56" i="21" s="1"/>
  <c r="I55" i="21"/>
  <c r="M55" i="21" s="1"/>
  <c r="L54" i="21"/>
  <c r="I53" i="21"/>
  <c r="M53" i="21" s="1"/>
  <c r="I52" i="21"/>
  <c r="M52" i="21" s="1"/>
  <c r="I51" i="21"/>
  <c r="M51" i="21" s="1"/>
  <c r="I50" i="21"/>
  <c r="M50" i="21" s="1"/>
  <c r="I49" i="21"/>
  <c r="M49" i="21" s="1"/>
  <c r="I48" i="21"/>
  <c r="M48" i="21" s="1"/>
  <c r="I47" i="21"/>
  <c r="M47" i="21" s="1"/>
  <c r="I46" i="21"/>
  <c r="M46" i="21" s="1"/>
  <c r="I45" i="21"/>
  <c r="M45" i="21" s="1"/>
  <c r="I44" i="21"/>
  <c r="M44" i="21" s="1"/>
  <c r="I43" i="21"/>
  <c r="M43" i="21" s="1"/>
  <c r="I42" i="21"/>
  <c r="M42" i="21" s="1"/>
  <c r="I40" i="21"/>
  <c r="M40" i="21" s="1"/>
  <c r="I39" i="21"/>
  <c r="M39" i="21" s="1"/>
  <c r="I38" i="21"/>
  <c r="M38" i="21" s="1"/>
  <c r="I37" i="21"/>
  <c r="M37" i="21" s="1"/>
  <c r="I36" i="21"/>
  <c r="M36" i="21" s="1"/>
  <c r="I35" i="21"/>
  <c r="M35" i="21" s="1"/>
  <c r="I34" i="21"/>
  <c r="M34" i="21" s="1"/>
  <c r="I33" i="21"/>
  <c r="M33" i="21" s="1"/>
  <c r="I32" i="21"/>
  <c r="I31" i="21"/>
  <c r="M31" i="21" s="1"/>
  <c r="L30" i="21"/>
  <c r="I29" i="21"/>
  <c r="M29" i="21" s="1"/>
  <c r="I28" i="21"/>
  <c r="M28" i="21" s="1"/>
  <c r="I27" i="21"/>
  <c r="M27" i="21" s="1"/>
  <c r="I26" i="21"/>
  <c r="M26" i="21" s="1"/>
  <c r="I25" i="21"/>
  <c r="M25" i="21" s="1"/>
  <c r="I24" i="21"/>
  <c r="M24" i="21" s="1"/>
  <c r="I23" i="21"/>
  <c r="M23" i="21" s="1"/>
  <c r="I22" i="21"/>
  <c r="M22" i="21" s="1"/>
  <c r="I21" i="21"/>
  <c r="M21" i="21" s="1"/>
  <c r="I20" i="21"/>
  <c r="M20" i="21" s="1"/>
  <c r="I19" i="21"/>
  <c r="M19" i="21" s="1"/>
  <c r="I18" i="21"/>
  <c r="L17" i="21"/>
  <c r="F13" i="21"/>
  <c r="L12" i="21"/>
  <c r="G12" i="21"/>
  <c r="F12" i="21"/>
  <c r="L11" i="21"/>
  <c r="L10" i="21"/>
  <c r="L9" i="21"/>
  <c r="L8" i="21"/>
  <c r="K109" i="21" l="1"/>
  <c r="P109" i="21" s="1"/>
  <c r="K146" i="21"/>
  <c r="P146" i="21" s="1"/>
  <c r="K43" i="21"/>
  <c r="P43" i="21" s="1"/>
  <c r="K74" i="21"/>
  <c r="P74" i="21" s="1"/>
  <c r="P40" i="21"/>
  <c r="I54" i="21"/>
  <c r="M197" i="21"/>
  <c r="N10" i="21" s="1"/>
  <c r="I135" i="21"/>
  <c r="K45" i="21"/>
  <c r="P45" i="21" s="1"/>
  <c r="K31" i="21"/>
  <c r="P31" i="21" s="1"/>
  <c r="K47" i="21"/>
  <c r="P47" i="21" s="1"/>
  <c r="K49" i="21"/>
  <c r="P49" i="21" s="1"/>
  <c r="I93" i="21"/>
  <c r="M94" i="21"/>
  <c r="M93" i="21" s="1"/>
  <c r="K236" i="21"/>
  <c r="P236" i="21" s="1"/>
  <c r="K232" i="21"/>
  <c r="P232" i="21" s="1"/>
  <c r="K227" i="21"/>
  <c r="P227" i="21" s="1"/>
  <c r="K222" i="21"/>
  <c r="P222" i="21" s="1"/>
  <c r="K218" i="21"/>
  <c r="P218" i="21" s="1"/>
  <c r="K213" i="21"/>
  <c r="P213" i="21" s="1"/>
  <c r="K209" i="21"/>
  <c r="P209" i="21" s="1"/>
  <c r="K205" i="21"/>
  <c r="P205" i="21" s="1"/>
  <c r="K201" i="21"/>
  <c r="P201" i="21" s="1"/>
  <c r="K196" i="21"/>
  <c r="P196" i="21" s="1"/>
  <c r="K192" i="21"/>
  <c r="P192" i="21" s="1"/>
  <c r="K188" i="21"/>
  <c r="P188" i="21" s="1"/>
  <c r="K184" i="21"/>
  <c r="P184" i="21" s="1"/>
  <c r="K181" i="21"/>
  <c r="P181" i="21" s="1"/>
  <c r="K177" i="21"/>
  <c r="P177" i="21" s="1"/>
  <c r="K173" i="21"/>
  <c r="P173" i="21" s="1"/>
  <c r="K169" i="21"/>
  <c r="P169" i="21" s="1"/>
  <c r="K164" i="21"/>
  <c r="P164" i="21" s="1"/>
  <c r="K235" i="21"/>
  <c r="P235" i="21" s="1"/>
  <c r="K231" i="21"/>
  <c r="P231" i="21" s="1"/>
  <c r="K226" i="21"/>
  <c r="P226" i="21" s="1"/>
  <c r="K221" i="21"/>
  <c r="P221" i="21" s="1"/>
  <c r="K216" i="21"/>
  <c r="P216" i="21" s="1"/>
  <c r="K212" i="21"/>
  <c r="P212" i="21" s="1"/>
  <c r="K208" i="21"/>
  <c r="P208" i="21" s="1"/>
  <c r="K204" i="21"/>
  <c r="P204" i="21" s="1"/>
  <c r="K200" i="21"/>
  <c r="P200" i="21" s="1"/>
  <c r="K195" i="21"/>
  <c r="P195" i="21" s="1"/>
  <c r="K191" i="21"/>
  <c r="P191" i="21" s="1"/>
  <c r="K187" i="21"/>
  <c r="P187" i="21" s="1"/>
  <c r="K183" i="21"/>
  <c r="P183" i="21" s="1"/>
  <c r="K180" i="21"/>
  <c r="P180" i="21" s="1"/>
  <c r="K176" i="21"/>
  <c r="P176" i="21" s="1"/>
  <c r="K172" i="21"/>
  <c r="P172" i="21" s="1"/>
  <c r="K168" i="21"/>
  <c r="P168" i="21" s="1"/>
  <c r="K160" i="21"/>
  <c r="P160" i="21" s="1"/>
  <c r="K158" i="21"/>
  <c r="P158" i="21" s="1"/>
  <c r="K156" i="21"/>
  <c r="P156" i="21" s="1"/>
  <c r="K154" i="21"/>
  <c r="P154" i="21" s="1"/>
  <c r="K151" i="21"/>
  <c r="P151" i="21" s="1"/>
  <c r="K149" i="21"/>
  <c r="P149" i="21" s="1"/>
  <c r="K139" i="21"/>
  <c r="P139" i="21" s="1"/>
  <c r="K137" i="21"/>
  <c r="P137" i="21" s="1"/>
  <c r="K134" i="21"/>
  <c r="P134" i="21" s="1"/>
  <c r="K238" i="21"/>
  <c r="P238" i="21" s="1"/>
  <c r="K234" i="21"/>
  <c r="P234" i="21" s="1"/>
  <c r="K230" i="21"/>
  <c r="P230" i="21" s="1"/>
  <c r="K225" i="21"/>
  <c r="P225" i="21" s="1"/>
  <c r="K220" i="21"/>
  <c r="P220" i="21" s="1"/>
  <c r="K215" i="21"/>
  <c r="P215" i="21" s="1"/>
  <c r="K211" i="21"/>
  <c r="P211" i="21" s="1"/>
  <c r="K207" i="21"/>
  <c r="P207" i="21" s="1"/>
  <c r="K203" i="21"/>
  <c r="P203" i="21" s="1"/>
  <c r="K199" i="21"/>
  <c r="P199" i="21" s="1"/>
  <c r="K194" i="21"/>
  <c r="P194" i="21" s="1"/>
  <c r="K190" i="21"/>
  <c r="P190" i="21" s="1"/>
  <c r="K186" i="21"/>
  <c r="P186" i="21" s="1"/>
  <c r="K182" i="21"/>
  <c r="P182" i="21" s="1"/>
  <c r="K179" i="21"/>
  <c r="P179" i="21" s="1"/>
  <c r="K228" i="21"/>
  <c r="P228" i="21" s="1"/>
  <c r="K224" i="21"/>
  <c r="P224" i="21" s="1"/>
  <c r="K219" i="21"/>
  <c r="P219" i="21" s="1"/>
  <c r="K193" i="21"/>
  <c r="P193" i="21" s="1"/>
  <c r="K189" i="21"/>
  <c r="P189" i="21" s="1"/>
  <c r="K185" i="21"/>
  <c r="P185" i="21" s="1"/>
  <c r="K178" i="21"/>
  <c r="P178" i="21" s="1"/>
  <c r="K171" i="21"/>
  <c r="P171" i="21" s="1"/>
  <c r="K170" i="21"/>
  <c r="P170" i="21" s="1"/>
  <c r="K153" i="21"/>
  <c r="P153" i="21" s="1"/>
  <c r="K147" i="21"/>
  <c r="P147" i="21" s="1"/>
  <c r="K140" i="21"/>
  <c r="P140" i="21" s="1"/>
  <c r="K159" i="21"/>
  <c r="P159" i="21" s="1"/>
  <c r="K150" i="21"/>
  <c r="P150" i="21" s="1"/>
  <c r="K148" i="21"/>
  <c r="P148" i="21" s="1"/>
  <c r="K142" i="21"/>
  <c r="P142" i="21" s="1"/>
  <c r="K138" i="21"/>
  <c r="P138" i="21" s="1"/>
  <c r="K214" i="21"/>
  <c r="P214" i="21" s="1"/>
  <c r="K210" i="21"/>
  <c r="P210" i="21" s="1"/>
  <c r="K206" i="21"/>
  <c r="P206" i="21" s="1"/>
  <c r="K202" i="21"/>
  <c r="P202" i="21" s="1"/>
  <c r="K198" i="21"/>
  <c r="P198" i="21" s="1"/>
  <c r="K175" i="21"/>
  <c r="P175" i="21" s="1"/>
  <c r="K174" i="21"/>
  <c r="P174" i="21" s="1"/>
  <c r="K167" i="21"/>
  <c r="P167" i="21" s="1"/>
  <c r="K166" i="21"/>
  <c r="P166" i="21" s="1"/>
  <c r="K157" i="21"/>
  <c r="P157" i="21" s="1"/>
  <c r="K144" i="21"/>
  <c r="P144" i="21" s="1"/>
  <c r="K141" i="21"/>
  <c r="P141" i="21" s="1"/>
  <c r="K136" i="21"/>
  <c r="P136" i="21" s="1"/>
  <c r="K122" i="21"/>
  <c r="P122" i="21" s="1"/>
  <c r="K120" i="21"/>
  <c r="P120" i="21" s="1"/>
  <c r="K118" i="21"/>
  <c r="P118" i="21" s="1"/>
  <c r="K115" i="21"/>
  <c r="P115" i="21" s="1"/>
  <c r="K113" i="21"/>
  <c r="P113" i="21" s="1"/>
  <c r="K111" i="21"/>
  <c r="P111" i="21" s="1"/>
  <c r="K108" i="21"/>
  <c r="P108" i="21" s="1"/>
  <c r="K106" i="21"/>
  <c r="P106" i="21" s="1"/>
  <c r="K104" i="21"/>
  <c r="P104" i="21" s="1"/>
  <c r="K101" i="21"/>
  <c r="P101" i="21" s="1"/>
  <c r="K99" i="21"/>
  <c r="P99" i="21" s="1"/>
  <c r="K97" i="21"/>
  <c r="P97" i="21" s="1"/>
  <c r="K95" i="21"/>
  <c r="P95" i="21" s="1"/>
  <c r="K92" i="21"/>
  <c r="P92" i="21" s="1"/>
  <c r="K89" i="21"/>
  <c r="P89" i="21" s="1"/>
  <c r="K86" i="21"/>
  <c r="P86" i="21" s="1"/>
  <c r="K84" i="21"/>
  <c r="P84" i="21" s="1"/>
  <c r="K143" i="21"/>
  <c r="P143" i="21" s="1"/>
  <c r="K119" i="21"/>
  <c r="P119" i="21" s="1"/>
  <c r="K107" i="21"/>
  <c r="P107" i="21" s="1"/>
  <c r="K98" i="21"/>
  <c r="P98" i="21" s="1"/>
  <c r="K90" i="21"/>
  <c r="P90" i="21" s="1"/>
  <c r="K87" i="21"/>
  <c r="P87" i="21" s="1"/>
  <c r="K82" i="21"/>
  <c r="P82" i="21" s="1"/>
  <c r="K76" i="21"/>
  <c r="P76" i="21" s="1"/>
  <c r="K51" i="21"/>
  <c r="P51" i="21" s="1"/>
  <c r="K38" i="21"/>
  <c r="P38" i="21" s="1"/>
  <c r="K33" i="21"/>
  <c r="P33" i="21" s="1"/>
  <c r="K23" i="21"/>
  <c r="P23" i="21" s="1"/>
  <c r="K21" i="21"/>
  <c r="P21" i="21" s="1"/>
  <c r="K19" i="21"/>
  <c r="P19" i="21" s="1"/>
  <c r="K39" i="21"/>
  <c r="P39" i="21" s="1"/>
  <c r="K34" i="21"/>
  <c r="P34" i="21" s="1"/>
  <c r="K32" i="21"/>
  <c r="P32" i="21" s="1"/>
  <c r="K22" i="21"/>
  <c r="P22" i="21" s="1"/>
  <c r="K117" i="21"/>
  <c r="P117" i="21" s="1"/>
  <c r="K105" i="21"/>
  <c r="P105" i="21" s="1"/>
  <c r="K96" i="21"/>
  <c r="P96" i="21" s="1"/>
  <c r="K85" i="21"/>
  <c r="P85" i="21" s="1"/>
  <c r="K72" i="21"/>
  <c r="P72" i="21" s="1"/>
  <c r="K70" i="21"/>
  <c r="P70" i="21" s="1"/>
  <c r="K68" i="21"/>
  <c r="P68" i="21" s="1"/>
  <c r="K66" i="21"/>
  <c r="P66" i="21" s="1"/>
  <c r="K64" i="21"/>
  <c r="P64" i="21" s="1"/>
  <c r="K62" i="21"/>
  <c r="P62" i="21" s="1"/>
  <c r="K60" i="21"/>
  <c r="P60" i="21" s="1"/>
  <c r="K58" i="21"/>
  <c r="P58" i="21" s="1"/>
  <c r="K56" i="21"/>
  <c r="P56" i="21" s="1"/>
  <c r="K53" i="21"/>
  <c r="P53" i="21" s="1"/>
  <c r="K50" i="21"/>
  <c r="P50" i="21" s="1"/>
  <c r="K48" i="21"/>
  <c r="P48" i="21" s="1"/>
  <c r="K46" i="21"/>
  <c r="P46" i="21" s="1"/>
  <c r="K44" i="21"/>
  <c r="P44" i="21" s="1"/>
  <c r="K42" i="21"/>
  <c r="P42" i="21" s="1"/>
  <c r="K37" i="21"/>
  <c r="P37" i="21" s="1"/>
  <c r="K35" i="21"/>
  <c r="P35" i="21" s="1"/>
  <c r="K29" i="21"/>
  <c r="P29" i="21" s="1"/>
  <c r="K27" i="21"/>
  <c r="P27" i="21" s="1"/>
  <c r="K25" i="21"/>
  <c r="P25" i="21" s="1"/>
  <c r="K233" i="21"/>
  <c r="P233" i="21" s="1"/>
  <c r="K103" i="21"/>
  <c r="P103" i="21" s="1"/>
  <c r="K114" i="21"/>
  <c r="P114" i="21" s="1"/>
  <c r="K94" i="21"/>
  <c r="P94" i="21" s="1"/>
  <c r="K83" i="21"/>
  <c r="P83" i="21" s="1"/>
  <c r="K77" i="21"/>
  <c r="P77" i="21" s="1"/>
  <c r="K75" i="21"/>
  <c r="P75" i="21" s="1"/>
  <c r="K24" i="21"/>
  <c r="P24" i="21" s="1"/>
  <c r="K18" i="21"/>
  <c r="P18" i="21" s="1"/>
  <c r="K112" i="21"/>
  <c r="P112" i="21" s="1"/>
  <c r="M116" i="21"/>
  <c r="K121" i="21"/>
  <c r="P121" i="21" s="1"/>
  <c r="K20" i="21"/>
  <c r="P20" i="21" s="1"/>
  <c r="K26" i="21"/>
  <c r="P26" i="21" s="1"/>
  <c r="K28" i="21"/>
  <c r="P28" i="21" s="1"/>
  <c r="K55" i="21"/>
  <c r="P55" i="21" s="1"/>
  <c r="K57" i="21"/>
  <c r="P57" i="21" s="1"/>
  <c r="K59" i="21"/>
  <c r="P59" i="21" s="1"/>
  <c r="K61" i="21"/>
  <c r="P61" i="21" s="1"/>
  <c r="K63" i="21"/>
  <c r="P63" i="21" s="1"/>
  <c r="K65" i="21"/>
  <c r="P65" i="21" s="1"/>
  <c r="K67" i="21"/>
  <c r="P67" i="21" s="1"/>
  <c r="K69" i="21"/>
  <c r="P69" i="21" s="1"/>
  <c r="K71" i="21"/>
  <c r="P71" i="21" s="1"/>
  <c r="K91" i="21"/>
  <c r="P91" i="21" s="1"/>
  <c r="I116" i="21"/>
  <c r="K237" i="21"/>
  <c r="P237" i="21" s="1"/>
  <c r="M32" i="21"/>
  <c r="M30" i="21" s="1"/>
  <c r="I30" i="21"/>
  <c r="K36" i="21"/>
  <c r="P36" i="21" s="1"/>
  <c r="K52" i="21"/>
  <c r="P52" i="21" s="1"/>
  <c r="M54" i="21"/>
  <c r="M75" i="21"/>
  <c r="M73" i="21" s="1"/>
  <c r="I73" i="21"/>
  <c r="I102" i="21"/>
  <c r="M103" i="21"/>
  <c r="M102" i="21" s="1"/>
  <c r="K155" i="21"/>
  <c r="P155" i="21" s="1"/>
  <c r="I110" i="21"/>
  <c r="M113" i="21"/>
  <c r="M110" i="21" s="1"/>
  <c r="K129" i="21"/>
  <c r="P129" i="21" s="1"/>
  <c r="K133" i="21"/>
  <c r="P133" i="21" s="1"/>
  <c r="M18" i="21"/>
  <c r="M17" i="21" s="1"/>
  <c r="I17" i="21"/>
  <c r="M92" i="21"/>
  <c r="M88" i="21" s="1"/>
  <c r="I88" i="21"/>
  <c r="K100" i="21"/>
  <c r="P100" i="21" s="1"/>
  <c r="I165" i="21"/>
  <c r="M165" i="21"/>
  <c r="N9" i="21" s="1"/>
  <c r="I197" i="21"/>
  <c r="M135" i="21"/>
  <c r="M220" i="21"/>
  <c r="M217" i="21" s="1"/>
  <c r="N11" i="21" s="1"/>
  <c r="I217" i="21"/>
  <c r="I229" i="21"/>
  <c r="M230" i="21"/>
  <c r="M229" i="21" s="1"/>
  <c r="N12" i="21" s="1"/>
  <c r="P30" i="21" l="1"/>
  <c r="P73" i="21"/>
  <c r="P17" i="21"/>
  <c r="P229" i="21"/>
  <c r="O12" i="21" s="1"/>
  <c r="P93" i="21"/>
  <c r="P135" i="21"/>
  <c r="P165" i="21"/>
  <c r="O9" i="21" s="1"/>
  <c r="P197" i="21"/>
  <c r="O10" i="21" s="1"/>
  <c r="P54" i="21"/>
  <c r="P88" i="21"/>
  <c r="P217" i="21"/>
  <c r="O11" i="21" s="1"/>
  <c r="N8" i="21"/>
  <c r="N14" i="21" s="1"/>
  <c r="P102" i="21"/>
  <c r="P116" i="21"/>
  <c r="P110" i="21"/>
  <c r="O8" i="21" l="1"/>
  <c r="O14" i="21" s="1"/>
  <c r="G12" i="11" l="1"/>
  <c r="G11" i="11"/>
  <c r="G10" i="11"/>
  <c r="G9" i="11"/>
  <c r="G8" i="11"/>
  <c r="G7" i="11"/>
  <c r="G6" i="11"/>
  <c r="G5" i="11"/>
  <c r="G14" i="11" s="1"/>
  <c r="G4" i="11"/>
  <c r="G3" i="11"/>
  <c r="G2" i="11"/>
  <c r="C12" i="11"/>
  <c r="C11" i="11"/>
  <c r="C10" i="11"/>
  <c r="C9" i="11"/>
  <c r="C8" i="11"/>
  <c r="C7" i="11"/>
  <c r="C6" i="11"/>
  <c r="E2" i="6" l="1"/>
  <c r="E12" i="6"/>
  <c r="E11" i="6"/>
  <c r="E10" i="6"/>
  <c r="E9" i="6"/>
  <c r="E8" i="6"/>
  <c r="E7" i="6"/>
  <c r="E7" i="11" s="1"/>
  <c r="E6" i="6"/>
  <c r="E5" i="6"/>
  <c r="E5" i="11" s="1"/>
  <c r="E4" i="6"/>
  <c r="E3" i="6"/>
  <c r="E3" i="11" s="1"/>
  <c r="I103" i="2"/>
  <c r="H103" i="2" s="1"/>
  <c r="I104" i="2"/>
  <c r="H104" i="2" s="1"/>
  <c r="I105" i="2"/>
  <c r="H105" i="2" s="1"/>
  <c r="I106" i="2"/>
  <c r="H106" i="2" s="1"/>
  <c r="I107" i="2"/>
  <c r="H107" i="2" s="1"/>
  <c r="I108" i="2"/>
  <c r="H108" i="2" s="1"/>
  <c r="I109" i="2"/>
  <c r="H109" i="2" s="1"/>
  <c r="I110" i="2"/>
  <c r="H110" i="2" s="1"/>
  <c r="I111" i="2"/>
  <c r="H111" i="2" s="1"/>
  <c r="I112" i="2"/>
  <c r="H112" i="2" s="1"/>
  <c r="I113" i="2"/>
  <c r="H113" i="2" s="1"/>
  <c r="I114" i="2"/>
  <c r="H114" i="2" s="1"/>
  <c r="I115" i="2"/>
  <c r="H115" i="2" s="1"/>
  <c r="I116" i="2"/>
  <c r="H116" i="2" s="1"/>
  <c r="I117" i="2"/>
  <c r="H117" i="2" s="1"/>
  <c r="I118" i="2"/>
  <c r="H118" i="2" s="1"/>
  <c r="I119" i="2"/>
  <c r="H119" i="2" s="1"/>
  <c r="I120" i="2"/>
  <c r="H120" i="2" s="1"/>
  <c r="I121" i="2"/>
  <c r="H121" i="2" s="1"/>
  <c r="I122" i="2"/>
  <c r="H122" i="2" s="1"/>
  <c r="I123" i="2"/>
  <c r="H123" i="2" s="1"/>
  <c r="I124" i="2"/>
  <c r="H124" i="2" s="1"/>
  <c r="I125" i="2"/>
  <c r="H125" i="2" s="1"/>
  <c r="I126" i="2"/>
  <c r="H126" i="2" s="1"/>
  <c r="I127" i="2"/>
  <c r="H127" i="2" s="1"/>
  <c r="I128" i="2"/>
  <c r="H128" i="2" s="1"/>
  <c r="I84" i="2"/>
  <c r="H84" i="2" s="1"/>
  <c r="I85" i="2"/>
  <c r="H85" i="2" s="1"/>
  <c r="I86" i="2"/>
  <c r="H86" i="2" s="1"/>
  <c r="I87" i="2"/>
  <c r="H87" i="2" s="1"/>
  <c r="I88" i="2"/>
  <c r="H88" i="2" s="1"/>
  <c r="I89" i="2"/>
  <c r="H89" i="2" s="1"/>
  <c r="I90" i="2"/>
  <c r="H90" i="2" s="1"/>
  <c r="I91" i="2"/>
  <c r="H91" i="2" s="1"/>
  <c r="I92" i="2"/>
  <c r="H92" i="2" s="1"/>
  <c r="I93" i="2"/>
  <c r="H93" i="2" s="1"/>
  <c r="I94" i="2"/>
  <c r="H94" i="2" s="1"/>
  <c r="I95" i="2"/>
  <c r="H95" i="2" s="1"/>
  <c r="I96" i="2"/>
  <c r="H96" i="2" s="1"/>
  <c r="I97" i="2"/>
  <c r="H97" i="2" s="1"/>
  <c r="I98" i="2"/>
  <c r="H98" i="2" s="1"/>
  <c r="I99" i="2"/>
  <c r="H99" i="2" s="1"/>
  <c r="I100" i="2"/>
  <c r="H100" i="2" s="1"/>
  <c r="I101" i="2"/>
  <c r="H101" i="2" s="1"/>
  <c r="I102" i="2"/>
  <c r="H102" i="2" s="1"/>
  <c r="I59" i="2"/>
  <c r="H59" i="2" s="1"/>
  <c r="I60" i="2"/>
  <c r="H60" i="2" s="1"/>
  <c r="I61" i="2"/>
  <c r="H61" i="2" s="1"/>
  <c r="I62" i="2"/>
  <c r="H62" i="2" s="1"/>
  <c r="I63" i="2"/>
  <c r="H63" i="2" s="1"/>
  <c r="I64" i="2"/>
  <c r="H64" i="2" s="1"/>
  <c r="I65" i="2"/>
  <c r="H65" i="2" s="1"/>
  <c r="I66" i="2"/>
  <c r="H66" i="2" s="1"/>
  <c r="I67" i="2"/>
  <c r="H67" i="2" s="1"/>
  <c r="I68" i="2"/>
  <c r="H68" i="2" s="1"/>
  <c r="I69" i="2"/>
  <c r="H69" i="2" s="1"/>
  <c r="I70" i="2"/>
  <c r="H70" i="2" s="1"/>
  <c r="I71" i="2"/>
  <c r="H71" i="2" s="1"/>
  <c r="I72" i="2"/>
  <c r="H72" i="2" s="1"/>
  <c r="I73" i="2"/>
  <c r="H73" i="2" s="1"/>
  <c r="I74" i="2"/>
  <c r="H74" i="2" s="1"/>
  <c r="I75" i="2"/>
  <c r="H75" i="2" s="1"/>
  <c r="I76" i="2"/>
  <c r="H76" i="2" s="1"/>
  <c r="I77" i="2"/>
  <c r="H77" i="2" s="1"/>
  <c r="I78" i="2"/>
  <c r="H78" i="2" s="1"/>
  <c r="I79" i="2"/>
  <c r="H79" i="2" s="1"/>
  <c r="I80" i="2"/>
  <c r="H80" i="2" s="1"/>
  <c r="I81" i="2"/>
  <c r="H81" i="2" s="1"/>
  <c r="I82" i="2"/>
  <c r="H82" i="2" s="1"/>
  <c r="I83" i="2"/>
  <c r="H83" i="2" s="1"/>
  <c r="I9" i="2"/>
  <c r="H9" i="2" s="1"/>
  <c r="I10" i="2"/>
  <c r="H10" i="2" s="1"/>
  <c r="I11" i="2"/>
  <c r="H11" i="2" s="1"/>
  <c r="I12" i="2"/>
  <c r="H12" i="2" s="1"/>
  <c r="I13" i="2"/>
  <c r="H13" i="2" s="1"/>
  <c r="I14" i="2"/>
  <c r="H14" i="2" s="1"/>
  <c r="I15" i="2"/>
  <c r="H15" i="2" s="1"/>
  <c r="I16" i="2"/>
  <c r="H16" i="2" s="1"/>
  <c r="I17" i="2"/>
  <c r="H17" i="2" s="1"/>
  <c r="I18" i="2"/>
  <c r="H18" i="2" s="1"/>
  <c r="I19" i="2"/>
  <c r="H19" i="2" s="1"/>
  <c r="I20" i="2"/>
  <c r="H20" i="2" s="1"/>
  <c r="I21" i="2"/>
  <c r="H21" i="2" s="1"/>
  <c r="I22" i="2"/>
  <c r="H22" i="2" s="1"/>
  <c r="I23" i="2"/>
  <c r="H23" i="2" s="1"/>
  <c r="I24" i="2"/>
  <c r="H24" i="2" s="1"/>
  <c r="I25" i="2"/>
  <c r="H25" i="2" s="1"/>
  <c r="I26" i="2"/>
  <c r="H26" i="2" s="1"/>
  <c r="I27" i="2"/>
  <c r="H27" i="2" s="1"/>
  <c r="I28" i="2"/>
  <c r="H28" i="2" s="1"/>
  <c r="I29" i="2"/>
  <c r="H29" i="2" s="1"/>
  <c r="I30" i="2"/>
  <c r="H30" i="2" s="1"/>
  <c r="I31" i="2"/>
  <c r="H31" i="2" s="1"/>
  <c r="I32" i="2"/>
  <c r="H32" i="2" s="1"/>
  <c r="I33" i="2"/>
  <c r="H33" i="2" s="1"/>
  <c r="I34" i="2"/>
  <c r="H34" i="2" s="1"/>
  <c r="I35" i="2"/>
  <c r="H35" i="2" s="1"/>
  <c r="I36" i="2"/>
  <c r="H36" i="2" s="1"/>
  <c r="I37" i="2"/>
  <c r="H37" i="2" s="1"/>
  <c r="I38" i="2"/>
  <c r="H38" i="2" s="1"/>
  <c r="I39" i="2"/>
  <c r="H39" i="2" s="1"/>
  <c r="I40" i="2"/>
  <c r="H40" i="2" s="1"/>
  <c r="I41" i="2"/>
  <c r="H41" i="2" s="1"/>
  <c r="I42" i="2"/>
  <c r="H42" i="2" s="1"/>
  <c r="I43" i="2"/>
  <c r="H43" i="2" s="1"/>
  <c r="I44" i="2"/>
  <c r="H44" i="2" s="1"/>
  <c r="I45" i="2"/>
  <c r="H45" i="2" s="1"/>
  <c r="I46" i="2"/>
  <c r="H46" i="2" s="1"/>
  <c r="I47" i="2"/>
  <c r="H47" i="2" s="1"/>
  <c r="I48" i="2"/>
  <c r="H48" i="2" s="1"/>
  <c r="I49" i="2"/>
  <c r="H49" i="2" s="1"/>
  <c r="I50" i="2"/>
  <c r="H50" i="2" s="1"/>
  <c r="I51" i="2"/>
  <c r="H51" i="2" s="1"/>
  <c r="I52" i="2"/>
  <c r="H52" i="2" s="1"/>
  <c r="I53" i="2"/>
  <c r="H53" i="2" s="1"/>
  <c r="I54" i="2"/>
  <c r="H54" i="2" s="1"/>
  <c r="I55" i="2"/>
  <c r="H55" i="2" s="1"/>
  <c r="I56" i="2"/>
  <c r="H56" i="2" s="1"/>
  <c r="I57" i="2"/>
  <c r="H57" i="2" s="1"/>
  <c r="I58" i="2"/>
  <c r="I3" i="2"/>
  <c r="H3" i="2" s="1"/>
  <c r="I4" i="2"/>
  <c r="H4" i="2" s="1"/>
  <c r="I5" i="2"/>
  <c r="H5" i="2" s="1"/>
  <c r="I6" i="2"/>
  <c r="H6" i="2" s="1"/>
  <c r="I7" i="2"/>
  <c r="H7" i="2" s="1"/>
  <c r="I8" i="2"/>
  <c r="H8" i="2" s="1"/>
  <c r="I2" i="2"/>
  <c r="H2" i="2" s="1"/>
  <c r="H2" i="1" s="1"/>
  <c r="F5" i="6" l="1"/>
  <c r="F5" i="11" s="1"/>
  <c r="F11" i="6"/>
  <c r="F11" i="11" s="1"/>
  <c r="E11" i="11"/>
  <c r="F7" i="6"/>
  <c r="F7" i="11" s="1"/>
  <c r="F4" i="6"/>
  <c r="F4" i="11" s="1"/>
  <c r="E4" i="11"/>
  <c r="F8" i="6"/>
  <c r="F8" i="11" s="1"/>
  <c r="E8" i="11"/>
  <c r="F12" i="6"/>
  <c r="F12" i="11" s="1"/>
  <c r="E12" i="11"/>
  <c r="F9" i="6"/>
  <c r="F9" i="11" s="1"/>
  <c r="E9" i="11"/>
  <c r="F2" i="6"/>
  <c r="F2" i="11" s="1"/>
  <c r="E2" i="11"/>
  <c r="F3" i="6"/>
  <c r="F3" i="11" s="1"/>
  <c r="F6" i="6"/>
  <c r="F6" i="11" s="1"/>
  <c r="E6" i="11"/>
  <c r="F10" i="6"/>
  <c r="F10" i="11" s="1"/>
  <c r="E10" i="11"/>
  <c r="H58" i="2"/>
  <c r="F14" i="11" l="1"/>
  <c r="E14" i="1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B48" i="2" s="1"/>
  <c r="E48" i="2" s="1"/>
  <c r="M49" i="2"/>
  <c r="M50" i="2"/>
  <c r="M51" i="2"/>
  <c r="M52" i="2"/>
  <c r="M53" i="2"/>
  <c r="M54" i="2"/>
  <c r="M55" i="2"/>
  <c r="M56" i="2"/>
  <c r="M57" i="2"/>
  <c r="M58" i="2"/>
  <c r="M59" i="2"/>
  <c r="M60" i="2"/>
  <c r="M61" i="2"/>
  <c r="M62" i="2"/>
  <c r="M63" i="2"/>
  <c r="M64" i="2"/>
  <c r="M65" i="2"/>
  <c r="M66" i="2"/>
  <c r="M67" i="2"/>
  <c r="M68" i="2"/>
  <c r="M69" i="2"/>
  <c r="M70" i="2"/>
  <c r="M71" i="2"/>
  <c r="M72" i="2"/>
  <c r="B72" i="2" s="1"/>
  <c r="E72" i="2" s="1"/>
  <c r="M73" i="2"/>
  <c r="B73" i="2" s="1"/>
  <c r="E73" i="2" s="1"/>
  <c r="M74" i="2"/>
  <c r="B74" i="2" s="1"/>
  <c r="E74" i="2" s="1"/>
  <c r="M75" i="2"/>
  <c r="M76" i="2"/>
  <c r="M77" i="2"/>
  <c r="M78" i="2"/>
  <c r="M79" i="2"/>
  <c r="M80" i="2"/>
  <c r="M81" i="2"/>
  <c r="M82" i="2"/>
  <c r="M83" i="2"/>
  <c r="M84" i="2"/>
  <c r="M85" i="2"/>
  <c r="M86" i="2"/>
  <c r="M87" i="2"/>
  <c r="M88" i="2"/>
  <c r="M89" i="2"/>
  <c r="M90" i="2"/>
  <c r="M91" i="2"/>
  <c r="M92" i="2"/>
  <c r="M93" i="2"/>
  <c r="M94" i="2"/>
  <c r="M95" i="2"/>
  <c r="B95" i="2" s="1"/>
  <c r="E95" i="2" s="1"/>
  <c r="M96" i="2"/>
  <c r="M97" i="2"/>
  <c r="M98" i="2"/>
  <c r="M99" i="2"/>
  <c r="M100" i="2"/>
  <c r="M101" i="2"/>
  <c r="M102" i="2"/>
  <c r="M103" i="2"/>
  <c r="M104" i="2"/>
  <c r="B104" i="2" s="1"/>
  <c r="E104" i="2" s="1"/>
  <c r="M105" i="2"/>
  <c r="B105" i="2" s="1"/>
  <c r="E105" i="2" s="1"/>
  <c r="M106" i="2"/>
  <c r="B106" i="2" s="1"/>
  <c r="E106" i="2" s="1"/>
  <c r="M107" i="2"/>
  <c r="B107" i="2" s="1"/>
  <c r="E107" i="2" s="1"/>
  <c r="M108" i="2"/>
  <c r="M109" i="2"/>
  <c r="M110" i="2"/>
  <c r="B110" i="2" s="1"/>
  <c r="E110" i="2" s="1"/>
  <c r="M111" i="2"/>
  <c r="M112" i="2"/>
  <c r="M113" i="2"/>
  <c r="M114" i="2"/>
  <c r="M115" i="2"/>
  <c r="M116" i="2"/>
  <c r="M2" i="2"/>
  <c r="M118" i="2"/>
  <c r="M119" i="2"/>
  <c r="M120" i="2"/>
  <c r="M121" i="2"/>
  <c r="M122" i="2"/>
  <c r="M123" i="2"/>
  <c r="M124" i="2"/>
  <c r="M125" i="2"/>
  <c r="M126" i="2"/>
  <c r="M127" i="2"/>
  <c r="M128" i="2"/>
  <c r="M117" i="2"/>
  <c r="C12" i="6" l="1"/>
  <c r="C2" i="6"/>
  <c r="C2" i="11" s="1"/>
  <c r="C3" i="6"/>
  <c r="C3" i="11" s="1"/>
  <c r="C6" i="6"/>
  <c r="C9" i="6"/>
  <c r="C4" i="6"/>
  <c r="C4" i="11" s="1"/>
  <c r="C11" i="6"/>
  <c r="C10" i="6"/>
  <c r="C8" i="6"/>
  <c r="C7" i="6"/>
  <c r="C5" i="6"/>
  <c r="C5" i="11" s="1"/>
  <c r="B116" i="2"/>
  <c r="E116" i="2" s="1"/>
  <c r="B96" i="2"/>
  <c r="E96" i="2" s="1"/>
  <c r="B88" i="2"/>
  <c r="E88" i="2" s="1"/>
  <c r="B80" i="2"/>
  <c r="E80" i="2" s="1"/>
  <c r="B76" i="2"/>
  <c r="E76" i="2" s="1"/>
  <c r="B64" i="2"/>
  <c r="E64" i="2" s="1"/>
  <c r="B91" i="2"/>
  <c r="E91" i="2" s="1"/>
  <c r="B79" i="2"/>
  <c r="E79" i="2" s="1"/>
  <c r="B63" i="2"/>
  <c r="E63" i="2" s="1"/>
  <c r="B94" i="2"/>
  <c r="E94" i="2" s="1"/>
  <c r="B82" i="2"/>
  <c r="E82" i="2" s="1"/>
  <c r="B70" i="2"/>
  <c r="E70" i="2" s="1"/>
  <c r="B66" i="2"/>
  <c r="E66" i="2" s="1"/>
  <c r="B62" i="2"/>
  <c r="E62" i="2" s="1"/>
  <c r="B112" i="2"/>
  <c r="E112" i="2" s="1"/>
  <c r="B108" i="2"/>
  <c r="E108" i="2" s="1"/>
  <c r="B100" i="2"/>
  <c r="E100" i="2" s="1"/>
  <c r="B92" i="2"/>
  <c r="E92" i="2" s="1"/>
  <c r="B84" i="2"/>
  <c r="E84" i="2" s="1"/>
  <c r="B68" i="2"/>
  <c r="E68" i="2" s="1"/>
  <c r="B60" i="2"/>
  <c r="E60" i="2" s="1"/>
  <c r="B115" i="2"/>
  <c r="E115" i="2" s="1"/>
  <c r="B111" i="2"/>
  <c r="E111" i="2" s="1"/>
  <c r="B103" i="2"/>
  <c r="E103" i="2" s="1"/>
  <c r="B99" i="2"/>
  <c r="E99" i="2" s="1"/>
  <c r="B87" i="2"/>
  <c r="E87" i="2" s="1"/>
  <c r="B83" i="2"/>
  <c r="E83" i="2" s="1"/>
  <c r="B75" i="2"/>
  <c r="E75" i="2" s="1"/>
  <c r="B71" i="2"/>
  <c r="E71" i="2" s="1"/>
  <c r="B67" i="2"/>
  <c r="E67" i="2" s="1"/>
  <c r="B59" i="2"/>
  <c r="E59" i="2" s="1"/>
  <c r="B114" i="2"/>
  <c r="E114" i="2" s="1"/>
  <c r="B102" i="2"/>
  <c r="E102" i="2" s="1"/>
  <c r="B98" i="2"/>
  <c r="E98" i="2" s="1"/>
  <c r="B90" i="2"/>
  <c r="E90" i="2" s="1"/>
  <c r="B86" i="2"/>
  <c r="E86" i="2" s="1"/>
  <c r="B78" i="2"/>
  <c r="E78" i="2" s="1"/>
  <c r="B113" i="2"/>
  <c r="E113" i="2" s="1"/>
  <c r="B109" i="2"/>
  <c r="E109" i="2" s="1"/>
  <c r="B101" i="2"/>
  <c r="E101" i="2" s="1"/>
  <c r="B97" i="2"/>
  <c r="E97" i="2" s="1"/>
  <c r="B93" i="2"/>
  <c r="E93" i="2" s="1"/>
  <c r="B89" i="2"/>
  <c r="E89" i="2" s="1"/>
  <c r="B85" i="2"/>
  <c r="E85" i="2" s="1"/>
  <c r="B81" i="2"/>
  <c r="E81" i="2" s="1"/>
  <c r="B77" i="2"/>
  <c r="E77" i="2" s="1"/>
  <c r="B69" i="2"/>
  <c r="E69" i="2" s="1"/>
  <c r="B65" i="2"/>
  <c r="E65" i="2" s="1"/>
  <c r="B61" i="2"/>
  <c r="E61" i="2" s="1"/>
  <c r="B118" i="2"/>
  <c r="E118" i="2" s="1"/>
  <c r="B122" i="2"/>
  <c r="E122" i="2" s="1"/>
  <c r="B126" i="2"/>
  <c r="E126" i="2" s="1"/>
  <c r="B119" i="2"/>
  <c r="E119" i="2" s="1"/>
  <c r="B120" i="2"/>
  <c r="E120" i="2" s="1"/>
  <c r="B128" i="2"/>
  <c r="E128" i="2" s="1"/>
  <c r="B121" i="2"/>
  <c r="E121" i="2" s="1"/>
  <c r="B125" i="2"/>
  <c r="E125" i="2" s="1"/>
  <c r="B123" i="2"/>
  <c r="E123" i="2" s="1"/>
  <c r="B127" i="2"/>
  <c r="E127" i="2" s="1"/>
  <c r="B124" i="2"/>
  <c r="E124" i="2" s="1"/>
  <c r="B52" i="2"/>
  <c r="E52" i="2" s="1"/>
  <c r="B117" i="2"/>
  <c r="E117" i="2" s="1"/>
  <c r="B58" i="2"/>
  <c r="E58" i="2" s="1"/>
  <c r="B54" i="2"/>
  <c r="E54" i="2" s="1"/>
  <c r="B57" i="2"/>
  <c r="E57" i="2" s="1"/>
  <c r="B51" i="2"/>
  <c r="E51" i="2" s="1"/>
  <c r="B55" i="2"/>
  <c r="E55" i="2" s="1"/>
  <c r="B53" i="2"/>
  <c r="E53" i="2" s="1"/>
  <c r="B56" i="2"/>
  <c r="E56" i="2" s="1"/>
  <c r="B26" i="2"/>
  <c r="E26" i="2" s="1"/>
  <c r="B2" i="2"/>
  <c r="E2" i="2" s="1"/>
  <c r="B47" i="2"/>
  <c r="E47" i="2" s="1"/>
  <c r="B50" i="2"/>
  <c r="E50" i="2" s="1"/>
  <c r="B49" i="2"/>
  <c r="E49" i="2" s="1"/>
  <c r="B34" i="2"/>
  <c r="E34" i="2" s="1"/>
  <c r="B45" i="2"/>
  <c r="E45" i="2" s="1"/>
  <c r="B41" i="2"/>
  <c r="E41" i="2" s="1"/>
  <c r="B37" i="2"/>
  <c r="E37" i="2" s="1"/>
  <c r="B44" i="2"/>
  <c r="E44" i="2" s="1"/>
  <c r="B40" i="2"/>
  <c r="E40" i="2" s="1"/>
  <c r="B36" i="2"/>
  <c r="E36" i="2" s="1"/>
  <c r="B33" i="2"/>
  <c r="E33" i="2" s="1"/>
  <c r="B43" i="2"/>
  <c r="E43" i="2" s="1"/>
  <c r="B39" i="2"/>
  <c r="E39" i="2" s="1"/>
  <c r="B35" i="2"/>
  <c r="E35" i="2" s="1"/>
  <c r="B46" i="2"/>
  <c r="E46" i="2" s="1"/>
  <c r="B42" i="2"/>
  <c r="E42" i="2" s="1"/>
  <c r="B38" i="2"/>
  <c r="E38" i="2" s="1"/>
  <c r="B32" i="2"/>
  <c r="E32" i="2" s="1"/>
  <c r="B28" i="2"/>
  <c r="E28" i="2" s="1"/>
  <c r="B25" i="2"/>
  <c r="E25" i="2" s="1"/>
  <c r="B29" i="2"/>
  <c r="E29" i="2" s="1"/>
  <c r="B31" i="2"/>
  <c r="E31" i="2" s="1"/>
  <c r="B27" i="2"/>
  <c r="E27" i="2" s="1"/>
  <c r="B30" i="2"/>
  <c r="E30" i="2" s="1"/>
  <c r="B5" i="2"/>
  <c r="E5" i="2" s="1"/>
  <c r="B24" i="2"/>
  <c r="E24" i="2" s="1"/>
  <c r="B20" i="2"/>
  <c r="E20" i="2" s="1"/>
  <c r="B16" i="2"/>
  <c r="E16" i="2" s="1"/>
  <c r="B12" i="2"/>
  <c r="E12" i="2" s="1"/>
  <c r="B8" i="2"/>
  <c r="E8" i="2" s="1"/>
  <c r="B4" i="2"/>
  <c r="E4" i="2" s="1"/>
  <c r="B23" i="2"/>
  <c r="E23" i="2" s="1"/>
  <c r="B19" i="2"/>
  <c r="E19" i="2" s="1"/>
  <c r="B15" i="2"/>
  <c r="E15" i="2" s="1"/>
  <c r="B11" i="2"/>
  <c r="E11" i="2" s="1"/>
  <c r="B7" i="2"/>
  <c r="E7" i="2" s="1"/>
  <c r="B3" i="2"/>
  <c r="E3" i="2" s="1"/>
  <c r="B22" i="2"/>
  <c r="E22" i="2" s="1"/>
  <c r="B18" i="2"/>
  <c r="E18" i="2" s="1"/>
  <c r="B14" i="2"/>
  <c r="E14" i="2" s="1"/>
  <c r="B10" i="2"/>
  <c r="E10" i="2" s="1"/>
  <c r="B6" i="2"/>
  <c r="E6" i="2" s="1"/>
  <c r="B21" i="2"/>
  <c r="E21" i="2" s="1"/>
  <c r="B17" i="2"/>
  <c r="E17" i="2" s="1"/>
  <c r="B13" i="2"/>
  <c r="E13" i="2" s="1"/>
  <c r="B9" i="2"/>
  <c r="E9" i="2" s="1"/>
  <c r="C14" i="11" l="1"/>
  <c r="D5" i="6"/>
  <c r="D5" i="11" s="1"/>
  <c r="H5" i="11" s="1"/>
  <c r="D4" i="6"/>
  <c r="D4" i="11" s="1"/>
  <c r="H4" i="11" s="1"/>
  <c r="D3" i="6"/>
  <c r="D3" i="11" s="1"/>
  <c r="H3" i="11" s="1"/>
  <c r="D2" i="6"/>
  <c r="D2" i="11" s="1"/>
  <c r="H2" i="11" s="1"/>
  <c r="D12" i="6"/>
  <c r="D12" i="11" s="1"/>
  <c r="H12" i="11" s="1"/>
  <c r="D11" i="6"/>
  <c r="D11" i="11" s="1"/>
  <c r="H11" i="11" s="1"/>
  <c r="D10" i="6"/>
  <c r="D10" i="11" s="1"/>
  <c r="H10" i="11" s="1"/>
  <c r="D9" i="6"/>
  <c r="D9" i="11" s="1"/>
  <c r="H9" i="11" s="1"/>
  <c r="D8" i="6"/>
  <c r="D8" i="11" s="1"/>
  <c r="H8" i="11" s="1"/>
  <c r="D7" i="6"/>
  <c r="D7" i="11" s="1"/>
  <c r="H7" i="11" s="1"/>
  <c r="D6" i="6"/>
  <c r="D6" i="11" s="1"/>
  <c r="H6" i="11" s="1"/>
  <c r="D14" i="11" l="1"/>
  <c r="H1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Vilca Miranda Ricardo E.</author>
  </authors>
  <commentList>
    <comment ref="I2" authorId="0" shapeId="0" xr:uid="{00000000-0006-0000-0000-000001000000}">
      <text>
        <r>
          <rPr>
            <b/>
            <sz val="9"/>
            <color indexed="81"/>
            <rFont val="Tahoma"/>
            <family val="2"/>
          </rPr>
          <t>Vilca Miranda Ricardo E.:</t>
        </r>
        <r>
          <rPr>
            <sz val="9"/>
            <color indexed="81"/>
            <rFont val="Tahoma"/>
            <family val="2"/>
          </rPr>
          <t xml:space="preserve">
se debe ingresar la fecha de termino administrativo de la mantención (13 dias despues de inicio de mantención)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Vilca Miranda Ricardo E.</author>
  </authors>
  <commentList>
    <comment ref="F1" authorId="0" shapeId="0" xr:uid="{00000000-0006-0000-0100-000001000000}">
      <text>
        <r>
          <rPr>
            <b/>
            <sz val="9"/>
            <color indexed="81"/>
            <rFont val="Tahoma"/>
            <family val="2"/>
          </rPr>
          <t>Vilca Miranda Ricardo E.:</t>
        </r>
        <r>
          <rPr>
            <sz val="9"/>
            <color indexed="81"/>
            <rFont val="Tahoma"/>
            <family val="2"/>
          </rPr>
          <t xml:space="preserve">
insertar el porcentaje de avance en forma manual, este no puede ser mayor al planificado</t>
        </r>
      </text>
    </comment>
    <comment ref="F2" authorId="0" shapeId="0" xr:uid="{00000000-0006-0000-0100-000002000000}">
      <text>
        <r>
          <rPr>
            <b/>
            <sz val="9"/>
            <color indexed="81"/>
            <rFont val="Tahoma"/>
            <family val="2"/>
          </rPr>
          <t>Vilca Miranda Ricardo E.:</t>
        </r>
        <r>
          <rPr>
            <sz val="9"/>
            <color indexed="81"/>
            <rFont val="Tahoma"/>
            <family val="2"/>
          </rPr>
          <t xml:space="preserve">
ingresar el porcentaje real de avance, este no puede ser mayor al planificado
</t>
        </r>
      </text>
    </comment>
    <comment ref="J2" authorId="0" shapeId="0" xr:uid="{00000000-0006-0000-0100-000003000000}">
      <text>
        <r>
          <rPr>
            <b/>
            <sz val="9"/>
            <color indexed="81"/>
            <rFont val="Tahoma"/>
            <family val="2"/>
          </rPr>
          <t>Vilca Miranda Ricardo E.:</t>
        </r>
        <r>
          <rPr>
            <sz val="9"/>
            <color indexed="81"/>
            <rFont val="Tahoma"/>
            <family val="2"/>
          </rPr>
          <t xml:space="preserve">
seleccionar si la tarea aplica, el calculo de ponderación es automatico
</t>
        </r>
      </text>
    </comment>
    <comment ref="F21" authorId="0" shapeId="0" xr:uid="{00000000-0006-0000-0100-000004000000}">
      <text>
        <r>
          <rPr>
            <b/>
            <sz val="9"/>
            <color indexed="81"/>
            <rFont val="Tahoma"/>
            <family val="2"/>
          </rPr>
          <t>Vilca Miranda Ricardo 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Vilca Miranda Ricardo E.</author>
  </authors>
  <commentList>
    <comment ref="C32" authorId="0" shapeId="0" xr:uid="{982A2620-1099-4A3C-80A3-6931F88BA1D6}">
      <text>
        <r>
          <rPr>
            <b/>
            <sz val="9"/>
            <color indexed="81"/>
            <rFont val="Tahoma"/>
            <family val="2"/>
          </rPr>
          <t>Vilca Miranda Ricardo E.:</t>
        </r>
        <r>
          <rPr>
            <sz val="9"/>
            <color indexed="81"/>
            <rFont val="Tahoma"/>
            <family val="2"/>
          </rPr>
          <t xml:space="preserve">
celdas en color esmeralda  ductos de acero inoxidable</t>
        </r>
      </text>
    </comment>
    <comment ref="H32" authorId="0" shapeId="0" xr:uid="{9693A862-179E-4201-9A30-64005A42199E}">
      <text>
        <r>
          <rPr>
            <b/>
            <sz val="9"/>
            <color indexed="81"/>
            <rFont val="Tahoma"/>
            <family val="2"/>
          </rPr>
          <t>Vilca Miranda Ricardo E.:</t>
        </r>
        <r>
          <rPr>
            <sz val="9"/>
            <color indexed="81"/>
            <rFont val="Tahoma"/>
            <family val="2"/>
          </rPr>
          <t xml:space="preserve">
seleccionar si repuesto aplica ingresat¿r valor 1, el calculo de ponderación es automatico
</t>
        </r>
      </text>
    </comment>
    <comment ref="L32" authorId="0" shapeId="0" xr:uid="{6BB4BE7E-19A4-474A-8C96-66577B5E62C7}">
      <text>
        <r>
          <rPr>
            <b/>
            <sz val="9"/>
            <color indexed="81"/>
            <rFont val="Tahoma"/>
            <family val="2"/>
          </rPr>
          <t>Vilca Miranda Ricardo E.:</t>
        </r>
        <r>
          <rPr>
            <sz val="9"/>
            <color indexed="81"/>
            <rFont val="Tahoma"/>
            <family val="2"/>
          </rPr>
          <t xml:space="preserve">
agregar el avance,
30% Compra
80% Retiro de bodega
100 % Puesto en terreno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Vilca Miranda Ricardo E.</author>
  </authors>
  <commentList>
    <comment ref="C18" authorId="0" shapeId="0" xr:uid="{F1CD82DD-6600-4018-B07C-250651CE358A}">
      <text>
        <r>
          <rPr>
            <b/>
            <sz val="9"/>
            <color indexed="81"/>
            <rFont val="Tahoma"/>
            <family val="2"/>
          </rPr>
          <t>Vilca Miranda Ricardo E.:</t>
        </r>
        <r>
          <rPr>
            <sz val="9"/>
            <color indexed="81"/>
            <rFont val="Tahoma"/>
            <family val="2"/>
          </rPr>
          <t xml:space="preserve">
celdas en color esmeralda  ductos de acero inoxidable</t>
        </r>
      </text>
    </comment>
    <comment ref="H18" authorId="0" shapeId="0" xr:uid="{08A68D22-8E92-4512-88EC-8EE41FFA8831}">
      <text>
        <r>
          <rPr>
            <b/>
            <sz val="9"/>
            <color indexed="81"/>
            <rFont val="Tahoma"/>
            <family val="2"/>
          </rPr>
          <t>Vilca Miranda Ricardo E.:</t>
        </r>
        <r>
          <rPr>
            <sz val="9"/>
            <color indexed="81"/>
            <rFont val="Tahoma"/>
            <family val="2"/>
          </rPr>
          <t xml:space="preserve">
seleccionar si repuesto aplica ingresat¿r valor 1, el calculo de ponderación es automatico
</t>
        </r>
      </text>
    </comment>
    <comment ref="L18" authorId="0" shapeId="0" xr:uid="{094B74AB-C22F-4601-A268-E86E25F63DC5}">
      <text>
        <r>
          <rPr>
            <b/>
            <sz val="9"/>
            <color indexed="81"/>
            <rFont val="Tahoma"/>
            <family val="2"/>
          </rPr>
          <t>Vilca Miranda Ricardo E.:</t>
        </r>
        <r>
          <rPr>
            <sz val="9"/>
            <color indexed="81"/>
            <rFont val="Tahoma"/>
            <family val="2"/>
          </rPr>
          <t xml:space="preserve">
agregar el avance,
30% Compra
80% Retiro de bodega
100 % Puesto en terreno</t>
        </r>
      </text>
    </comment>
    <comment ref="L19" authorId="0" shapeId="0" xr:uid="{AF669759-1EEE-43F2-943F-7268B980026A}">
      <text>
        <r>
          <rPr>
            <b/>
            <sz val="9"/>
            <color indexed="81"/>
            <rFont val="Tahoma"/>
            <family val="2"/>
          </rPr>
          <t>Vilca Miranda Ricardo E.:</t>
        </r>
        <r>
          <rPr>
            <sz val="9"/>
            <color indexed="81"/>
            <rFont val="Tahoma"/>
            <family val="2"/>
          </rPr>
          <t xml:space="preserve">
agregar el avance,
30% Compra
80% Retiro de bodega
100 % Puesto en terreno</t>
        </r>
      </text>
    </comment>
    <comment ref="L20" authorId="0" shapeId="0" xr:uid="{6EE0AB9B-AB97-4BED-BC72-79E4E9A00D62}">
      <text>
        <r>
          <rPr>
            <b/>
            <sz val="9"/>
            <color indexed="81"/>
            <rFont val="Tahoma"/>
            <family val="2"/>
          </rPr>
          <t>Vilca Miranda Ricardo E.:</t>
        </r>
        <r>
          <rPr>
            <sz val="9"/>
            <color indexed="81"/>
            <rFont val="Tahoma"/>
            <family val="2"/>
          </rPr>
          <t xml:space="preserve">
agregar el avance,
30% Compra
80% Retiro de bodega
100 % Puesto en terreno</t>
        </r>
      </text>
    </comment>
    <comment ref="L21" authorId="0" shapeId="0" xr:uid="{405F5BA3-EED2-4128-8B1B-B1228432B485}">
      <text>
        <r>
          <rPr>
            <b/>
            <sz val="9"/>
            <color indexed="81"/>
            <rFont val="Tahoma"/>
            <family val="2"/>
          </rPr>
          <t>Vilca Miranda Ricardo E.:</t>
        </r>
        <r>
          <rPr>
            <sz val="9"/>
            <color indexed="81"/>
            <rFont val="Tahoma"/>
            <family val="2"/>
          </rPr>
          <t xml:space="preserve">
agregar el avance,
30% Compra
80% Retiro de bodega
100 % Puesto en terreno</t>
        </r>
      </text>
    </comment>
    <comment ref="L22" authorId="0" shapeId="0" xr:uid="{427DE37A-1798-47A9-ACAA-772A362EE6A5}">
      <text>
        <r>
          <rPr>
            <b/>
            <sz val="9"/>
            <color indexed="81"/>
            <rFont val="Tahoma"/>
            <family val="2"/>
          </rPr>
          <t>Vilca Miranda Ricardo E.:</t>
        </r>
        <r>
          <rPr>
            <sz val="9"/>
            <color indexed="81"/>
            <rFont val="Tahoma"/>
            <family val="2"/>
          </rPr>
          <t xml:space="preserve">
agregar el avance,
30% Compra
80% Retiro de bodega
100 % Puesto en terreno</t>
        </r>
      </text>
    </comment>
    <comment ref="L23" authorId="0" shapeId="0" xr:uid="{D43E2A4F-34B4-43B9-92F3-6B64C202CABF}">
      <text>
        <r>
          <rPr>
            <b/>
            <sz val="9"/>
            <color indexed="81"/>
            <rFont val="Tahoma"/>
            <family val="2"/>
          </rPr>
          <t>Vilca Miranda Ricardo E.:</t>
        </r>
        <r>
          <rPr>
            <sz val="9"/>
            <color indexed="81"/>
            <rFont val="Tahoma"/>
            <family val="2"/>
          </rPr>
          <t xml:space="preserve">
agregar el avance,
30% Compra
80% Retiro de bodega
100 % Puesto en terreno</t>
        </r>
      </text>
    </comment>
    <comment ref="L24" authorId="0" shapeId="0" xr:uid="{3E61CF4B-3D37-4B48-8FFD-D0F45F0C8112}">
      <text>
        <r>
          <rPr>
            <b/>
            <sz val="9"/>
            <color indexed="81"/>
            <rFont val="Tahoma"/>
            <family val="2"/>
          </rPr>
          <t>Vilca Miranda Ricardo E.:</t>
        </r>
        <r>
          <rPr>
            <sz val="9"/>
            <color indexed="81"/>
            <rFont val="Tahoma"/>
            <family val="2"/>
          </rPr>
          <t xml:space="preserve">
agregar el avance,
30% Compra
80% Retiro de bodega
100 % Puesto en terreno</t>
        </r>
      </text>
    </comment>
    <comment ref="L25" authorId="0" shapeId="0" xr:uid="{3291C2D5-C2D9-43A4-AD5F-218190B77599}">
      <text>
        <r>
          <rPr>
            <b/>
            <sz val="9"/>
            <color indexed="81"/>
            <rFont val="Tahoma"/>
            <family val="2"/>
          </rPr>
          <t>Vilca Miranda Ricardo E.:</t>
        </r>
        <r>
          <rPr>
            <sz val="9"/>
            <color indexed="81"/>
            <rFont val="Tahoma"/>
            <family val="2"/>
          </rPr>
          <t xml:space="preserve">
agregar el avance,
30% Compra
80% Retiro de bodega
100 % Puesto en terreno</t>
        </r>
      </text>
    </comment>
    <comment ref="L26" authorId="0" shapeId="0" xr:uid="{A103512D-A7AD-4637-9CFA-6021240199FF}">
      <text>
        <r>
          <rPr>
            <b/>
            <sz val="9"/>
            <color indexed="81"/>
            <rFont val="Tahoma"/>
            <family val="2"/>
          </rPr>
          <t>Vilca Miranda Ricardo E.:</t>
        </r>
        <r>
          <rPr>
            <sz val="9"/>
            <color indexed="81"/>
            <rFont val="Tahoma"/>
            <family val="2"/>
          </rPr>
          <t xml:space="preserve">
agregar el avance,
30% Compra
80% Retiro de bodega
100 % Puesto en terreno</t>
        </r>
      </text>
    </comment>
    <comment ref="L27" authorId="0" shapeId="0" xr:uid="{2E06DA73-D328-493C-A1CF-F00ECF03D3A2}">
      <text>
        <r>
          <rPr>
            <b/>
            <sz val="9"/>
            <color indexed="81"/>
            <rFont val="Tahoma"/>
            <family val="2"/>
          </rPr>
          <t>Vilca Miranda Ricardo E.:</t>
        </r>
        <r>
          <rPr>
            <sz val="9"/>
            <color indexed="81"/>
            <rFont val="Tahoma"/>
            <family val="2"/>
          </rPr>
          <t xml:space="preserve">
agregar el avance,
30% Compra
80% Retiro de bodega
100 % Puesto en terreno</t>
        </r>
      </text>
    </comment>
    <comment ref="L28" authorId="0" shapeId="0" xr:uid="{ED580AA0-81E4-4DFA-8BAC-3636238745A8}">
      <text>
        <r>
          <rPr>
            <b/>
            <sz val="9"/>
            <color indexed="81"/>
            <rFont val="Tahoma"/>
            <family val="2"/>
          </rPr>
          <t>Vilca Miranda Ricardo E.:</t>
        </r>
        <r>
          <rPr>
            <sz val="9"/>
            <color indexed="81"/>
            <rFont val="Tahoma"/>
            <family val="2"/>
          </rPr>
          <t xml:space="preserve">
agregar el avance,
30% Compra
80% Retiro de bodega
100 % Puesto en terreno</t>
        </r>
      </text>
    </comment>
    <comment ref="L29" authorId="0" shapeId="0" xr:uid="{85A66564-A049-4D80-AADC-870A6574F1A2}">
      <text>
        <r>
          <rPr>
            <b/>
            <sz val="9"/>
            <color indexed="81"/>
            <rFont val="Tahoma"/>
            <family val="2"/>
          </rPr>
          <t>Vilca Miranda Ricardo E.:</t>
        </r>
        <r>
          <rPr>
            <sz val="9"/>
            <color indexed="81"/>
            <rFont val="Tahoma"/>
            <family val="2"/>
          </rPr>
          <t xml:space="preserve">
agregar el avance,
30% Compra
80% Retiro de bodega
100 % Puesto en terreno</t>
        </r>
      </text>
    </comment>
    <comment ref="L31" authorId="0" shapeId="0" xr:uid="{A195422D-6E0A-4E59-B3BC-C99B61204EF4}">
      <text>
        <r>
          <rPr>
            <b/>
            <sz val="9"/>
            <color indexed="81"/>
            <rFont val="Tahoma"/>
            <family val="2"/>
          </rPr>
          <t>Vilca Miranda Ricardo E.:</t>
        </r>
        <r>
          <rPr>
            <sz val="9"/>
            <color indexed="81"/>
            <rFont val="Tahoma"/>
            <family val="2"/>
          </rPr>
          <t xml:space="preserve">
agregar el avance,
30% Compra
80% Retiro de bodega
100 % Puesto en terreno</t>
        </r>
      </text>
    </comment>
    <comment ref="L32" authorId="0" shapeId="0" xr:uid="{6AAC5C42-2A12-4AF4-9B48-8C2776BC7CD5}">
      <text>
        <r>
          <rPr>
            <b/>
            <sz val="9"/>
            <color indexed="81"/>
            <rFont val="Tahoma"/>
            <family val="2"/>
          </rPr>
          <t>Vilca Miranda Ricardo E.:</t>
        </r>
        <r>
          <rPr>
            <sz val="9"/>
            <color indexed="81"/>
            <rFont val="Tahoma"/>
            <family val="2"/>
          </rPr>
          <t xml:space="preserve">
agregar el avance,
30% Compra
80% Retiro de bodega
100 % Puesto en terreno</t>
        </r>
      </text>
    </comment>
    <comment ref="L33" authorId="0" shapeId="0" xr:uid="{F4CD4234-C268-4FE0-BB93-E275DE7C7B6B}">
      <text>
        <r>
          <rPr>
            <b/>
            <sz val="9"/>
            <color indexed="81"/>
            <rFont val="Tahoma"/>
            <family val="2"/>
          </rPr>
          <t>Vilca Miranda Ricardo E.:</t>
        </r>
        <r>
          <rPr>
            <sz val="9"/>
            <color indexed="81"/>
            <rFont val="Tahoma"/>
            <family val="2"/>
          </rPr>
          <t xml:space="preserve">
agregar el avance,
30% Compra
80% Retiro de bodega
100 % Puesto en terreno</t>
        </r>
      </text>
    </comment>
    <comment ref="L34" authorId="0" shapeId="0" xr:uid="{869112D3-FA6B-43C9-B0C6-1F733EAFE179}">
      <text>
        <r>
          <rPr>
            <b/>
            <sz val="9"/>
            <color indexed="81"/>
            <rFont val="Tahoma"/>
            <family val="2"/>
          </rPr>
          <t>Vilca Miranda Ricardo E.:</t>
        </r>
        <r>
          <rPr>
            <sz val="9"/>
            <color indexed="81"/>
            <rFont val="Tahoma"/>
            <family val="2"/>
          </rPr>
          <t xml:space="preserve">
agregar el avance,
30% Compra
80% Retiro de bodega
100 % Puesto en terreno</t>
        </r>
      </text>
    </comment>
    <comment ref="L35" authorId="0" shapeId="0" xr:uid="{67D0A9C6-FC10-4D40-9A73-B63615EDE97C}">
      <text>
        <r>
          <rPr>
            <b/>
            <sz val="9"/>
            <color indexed="81"/>
            <rFont val="Tahoma"/>
            <family val="2"/>
          </rPr>
          <t>Vilca Miranda Ricardo E.:</t>
        </r>
        <r>
          <rPr>
            <sz val="9"/>
            <color indexed="81"/>
            <rFont val="Tahoma"/>
            <family val="2"/>
          </rPr>
          <t xml:space="preserve">
agregar el avance,
30% Compra
80% Retiro de bodega
100 % Puesto en terreno</t>
        </r>
      </text>
    </comment>
    <comment ref="L36" authorId="0" shapeId="0" xr:uid="{1546B2B2-D4C0-4D3A-979D-0020B980B55D}">
      <text>
        <r>
          <rPr>
            <b/>
            <sz val="9"/>
            <color indexed="81"/>
            <rFont val="Tahoma"/>
            <family val="2"/>
          </rPr>
          <t>Vilca Miranda Ricardo E.:</t>
        </r>
        <r>
          <rPr>
            <sz val="9"/>
            <color indexed="81"/>
            <rFont val="Tahoma"/>
            <family val="2"/>
          </rPr>
          <t xml:space="preserve">
agregar el avance,
30% Compra
80% Retiro de bodega
100 % Puesto en terreno</t>
        </r>
      </text>
    </comment>
    <comment ref="L37" authorId="0" shapeId="0" xr:uid="{AC962891-AF5F-4E1C-9209-CC199EB9C10C}">
      <text>
        <r>
          <rPr>
            <b/>
            <sz val="9"/>
            <color indexed="81"/>
            <rFont val="Tahoma"/>
            <family val="2"/>
          </rPr>
          <t>Vilca Miranda Ricardo E.:</t>
        </r>
        <r>
          <rPr>
            <sz val="9"/>
            <color indexed="81"/>
            <rFont val="Tahoma"/>
            <family val="2"/>
          </rPr>
          <t xml:space="preserve">
agregar el avance,
30% Compra
80% Retiro de bodega
100 % Puesto en terreno</t>
        </r>
      </text>
    </comment>
    <comment ref="L38" authorId="0" shapeId="0" xr:uid="{488288DA-5406-414B-B87B-38208B735A03}">
      <text>
        <r>
          <rPr>
            <b/>
            <sz val="9"/>
            <color indexed="81"/>
            <rFont val="Tahoma"/>
            <family val="2"/>
          </rPr>
          <t>Vilca Miranda Ricardo E.:</t>
        </r>
        <r>
          <rPr>
            <sz val="9"/>
            <color indexed="81"/>
            <rFont val="Tahoma"/>
            <family val="2"/>
          </rPr>
          <t xml:space="preserve">
agregar el avance,
30% Compra
80% Retiro de bodega
100 % Puesto en terreno</t>
        </r>
      </text>
    </comment>
    <comment ref="L39" authorId="0" shapeId="0" xr:uid="{402BDA9A-21F9-414A-AA48-1FEE558FA980}">
      <text>
        <r>
          <rPr>
            <b/>
            <sz val="9"/>
            <color indexed="81"/>
            <rFont val="Tahoma"/>
            <family val="2"/>
          </rPr>
          <t>Vilca Miranda Ricardo E.:</t>
        </r>
        <r>
          <rPr>
            <sz val="9"/>
            <color indexed="81"/>
            <rFont val="Tahoma"/>
            <family val="2"/>
          </rPr>
          <t xml:space="preserve">
agregar el avance,
30% Compra
80% Retiro de bodega
100 % Puesto en terreno</t>
        </r>
      </text>
    </comment>
    <comment ref="L40" authorId="0" shapeId="0" xr:uid="{9B9EB8B1-5299-4660-89EF-1ED426BCB4C1}">
      <text>
        <r>
          <rPr>
            <b/>
            <sz val="9"/>
            <color indexed="81"/>
            <rFont val="Tahoma"/>
            <family val="2"/>
          </rPr>
          <t>Vilca Miranda Ricardo E.:</t>
        </r>
        <r>
          <rPr>
            <sz val="9"/>
            <color indexed="81"/>
            <rFont val="Tahoma"/>
            <family val="2"/>
          </rPr>
          <t xml:space="preserve">
agregar el avance,
30% Compra
80% Retiro de bodega
100 % Puesto en terreno</t>
        </r>
      </text>
    </comment>
    <comment ref="L42" authorId="0" shapeId="0" xr:uid="{326FF2BA-E7EE-4777-8BBF-566E8C9ABAD6}">
      <text>
        <r>
          <rPr>
            <b/>
            <sz val="9"/>
            <color indexed="81"/>
            <rFont val="Tahoma"/>
            <family val="2"/>
          </rPr>
          <t>Vilca Miranda Ricardo E.:</t>
        </r>
        <r>
          <rPr>
            <sz val="9"/>
            <color indexed="81"/>
            <rFont val="Tahoma"/>
            <family val="2"/>
          </rPr>
          <t xml:space="preserve">
agregar el avance,
30% Compra
80% Retiro de bodega
100 % Puesto en terreno</t>
        </r>
      </text>
    </comment>
    <comment ref="L43" authorId="0" shapeId="0" xr:uid="{3BF3CC33-576C-4409-A038-5944FE14AFEF}">
      <text>
        <r>
          <rPr>
            <b/>
            <sz val="9"/>
            <color indexed="81"/>
            <rFont val="Tahoma"/>
            <family val="2"/>
          </rPr>
          <t>Vilca Miranda Ricardo E.:</t>
        </r>
        <r>
          <rPr>
            <sz val="9"/>
            <color indexed="81"/>
            <rFont val="Tahoma"/>
            <family val="2"/>
          </rPr>
          <t xml:space="preserve">
agregar el avance,
30% Compra
80% Retiro de bodega
100 % Puesto en terreno</t>
        </r>
      </text>
    </comment>
    <comment ref="L44" authorId="0" shapeId="0" xr:uid="{6EB89357-EC45-4E51-8FC5-D48EDB9D72A4}">
      <text>
        <r>
          <rPr>
            <b/>
            <sz val="9"/>
            <color indexed="81"/>
            <rFont val="Tahoma"/>
            <family val="2"/>
          </rPr>
          <t>Vilca Miranda Ricardo E.:</t>
        </r>
        <r>
          <rPr>
            <sz val="9"/>
            <color indexed="81"/>
            <rFont val="Tahoma"/>
            <family val="2"/>
          </rPr>
          <t xml:space="preserve">
agregar el avance,
30% Compra
80% Retiro de bodega
100 % Puesto en terreno</t>
        </r>
      </text>
    </comment>
    <comment ref="L45" authorId="0" shapeId="0" xr:uid="{37E7A116-074D-41CD-A240-83B9FAF0FFA5}">
      <text>
        <r>
          <rPr>
            <b/>
            <sz val="9"/>
            <color indexed="81"/>
            <rFont val="Tahoma"/>
            <family val="2"/>
          </rPr>
          <t>Vilca Miranda Ricardo E.:</t>
        </r>
        <r>
          <rPr>
            <sz val="9"/>
            <color indexed="81"/>
            <rFont val="Tahoma"/>
            <family val="2"/>
          </rPr>
          <t xml:space="preserve">
agregar el avance,
30% Compra
80% Retiro de bodega
100 % Puesto en terreno</t>
        </r>
      </text>
    </comment>
    <comment ref="L46" authorId="0" shapeId="0" xr:uid="{31D488CA-4058-4FCD-9799-31F1EF5004ED}">
      <text>
        <r>
          <rPr>
            <b/>
            <sz val="9"/>
            <color indexed="81"/>
            <rFont val="Tahoma"/>
            <family val="2"/>
          </rPr>
          <t>Vilca Miranda Ricardo E.:</t>
        </r>
        <r>
          <rPr>
            <sz val="9"/>
            <color indexed="81"/>
            <rFont val="Tahoma"/>
            <family val="2"/>
          </rPr>
          <t xml:space="preserve">
agregar el avance,
30% Compra
80% Retiro de bodega
100 % Puesto en terreno</t>
        </r>
      </text>
    </comment>
    <comment ref="L47" authorId="0" shapeId="0" xr:uid="{B27DFEAE-1149-4408-85B9-2848945FF091}">
      <text>
        <r>
          <rPr>
            <b/>
            <sz val="9"/>
            <color indexed="81"/>
            <rFont val="Tahoma"/>
            <family val="2"/>
          </rPr>
          <t>Vilca Miranda Ricardo E.:</t>
        </r>
        <r>
          <rPr>
            <sz val="9"/>
            <color indexed="81"/>
            <rFont val="Tahoma"/>
            <family val="2"/>
          </rPr>
          <t xml:space="preserve">
agregar el avance,
30% Compra
80% Retiro de bodega
100 % Puesto en terreno</t>
        </r>
      </text>
    </comment>
    <comment ref="L48" authorId="0" shapeId="0" xr:uid="{197C6D71-5AFC-49CD-976A-AB875938CE25}">
      <text>
        <r>
          <rPr>
            <b/>
            <sz val="9"/>
            <color indexed="81"/>
            <rFont val="Tahoma"/>
            <family val="2"/>
          </rPr>
          <t>Vilca Miranda Ricardo E.:</t>
        </r>
        <r>
          <rPr>
            <sz val="9"/>
            <color indexed="81"/>
            <rFont val="Tahoma"/>
            <family val="2"/>
          </rPr>
          <t xml:space="preserve">
agregar el avance,
30% Compra
80% Retiro de bodega
100 % Puesto en terreno</t>
        </r>
      </text>
    </comment>
    <comment ref="L49" authorId="0" shapeId="0" xr:uid="{60D3CBB1-7D5E-475B-9261-19165242C204}">
      <text>
        <r>
          <rPr>
            <b/>
            <sz val="9"/>
            <color indexed="81"/>
            <rFont val="Tahoma"/>
            <family val="2"/>
          </rPr>
          <t>Vilca Miranda Ricardo E.:</t>
        </r>
        <r>
          <rPr>
            <sz val="9"/>
            <color indexed="81"/>
            <rFont val="Tahoma"/>
            <family val="2"/>
          </rPr>
          <t xml:space="preserve">
agregar el avance,
30% Compra
80% Retiro de bodega
100 % Puesto en terreno</t>
        </r>
      </text>
    </comment>
    <comment ref="L50" authorId="0" shapeId="0" xr:uid="{91403D46-7936-4F74-BE86-88460FD0DEFF}">
      <text>
        <r>
          <rPr>
            <b/>
            <sz val="9"/>
            <color indexed="81"/>
            <rFont val="Tahoma"/>
            <family val="2"/>
          </rPr>
          <t>Vilca Miranda Ricardo E.:</t>
        </r>
        <r>
          <rPr>
            <sz val="9"/>
            <color indexed="81"/>
            <rFont val="Tahoma"/>
            <family val="2"/>
          </rPr>
          <t xml:space="preserve">
agregar el avance,
30% Compra
80% Retiro de bodega
100 % Puesto en terreno</t>
        </r>
      </text>
    </comment>
    <comment ref="L51" authorId="0" shapeId="0" xr:uid="{39C36ED9-E03B-4543-B42E-56CF950B549A}">
      <text>
        <r>
          <rPr>
            <b/>
            <sz val="9"/>
            <color indexed="81"/>
            <rFont val="Tahoma"/>
            <family val="2"/>
          </rPr>
          <t>Vilca Miranda Ricardo E.:</t>
        </r>
        <r>
          <rPr>
            <sz val="9"/>
            <color indexed="81"/>
            <rFont val="Tahoma"/>
            <family val="2"/>
          </rPr>
          <t xml:space="preserve">
agregar el avance,
30% Compra
80% Retiro de bodega
100 % Puesto en terreno</t>
        </r>
      </text>
    </comment>
    <comment ref="L52" authorId="0" shapeId="0" xr:uid="{05CE7536-6B6E-4A03-9A1C-916287DE3437}">
      <text>
        <r>
          <rPr>
            <b/>
            <sz val="9"/>
            <color indexed="81"/>
            <rFont val="Tahoma"/>
            <family val="2"/>
          </rPr>
          <t>Vilca Miranda Ricardo E.:</t>
        </r>
        <r>
          <rPr>
            <sz val="9"/>
            <color indexed="81"/>
            <rFont val="Tahoma"/>
            <family val="2"/>
          </rPr>
          <t xml:space="preserve">
agregar el avance,
30% Compra
80% Retiro de bodega
100 % Puesto en terreno</t>
        </r>
      </text>
    </comment>
    <comment ref="L53" authorId="0" shapeId="0" xr:uid="{1BBB0220-8BEC-4E2B-9A1B-CE81488B96BA}">
      <text>
        <r>
          <rPr>
            <b/>
            <sz val="9"/>
            <color indexed="81"/>
            <rFont val="Tahoma"/>
            <family val="2"/>
          </rPr>
          <t>Vilca Miranda Ricardo E.:</t>
        </r>
        <r>
          <rPr>
            <sz val="9"/>
            <color indexed="81"/>
            <rFont val="Tahoma"/>
            <family val="2"/>
          </rPr>
          <t xml:space="preserve">
agregar el avance,
30% Compra
80% Retiro de bodega
100 % Puesto en terreno</t>
        </r>
      </text>
    </comment>
    <comment ref="L55" authorId="0" shapeId="0" xr:uid="{18270662-E33C-4587-9992-7676A9E68B06}">
      <text>
        <r>
          <rPr>
            <b/>
            <sz val="9"/>
            <color indexed="81"/>
            <rFont val="Tahoma"/>
            <family val="2"/>
          </rPr>
          <t>Vilca Miranda Ricardo E.:</t>
        </r>
        <r>
          <rPr>
            <sz val="9"/>
            <color indexed="81"/>
            <rFont val="Tahoma"/>
            <family val="2"/>
          </rPr>
          <t xml:space="preserve">
agregar el avance,
30% Compra
80% Retiro de bodega
100 % Puesto en terreno</t>
        </r>
      </text>
    </comment>
    <comment ref="L56" authorId="0" shapeId="0" xr:uid="{4A41FD07-6BA0-438E-8196-1085A7736345}">
      <text>
        <r>
          <rPr>
            <b/>
            <sz val="9"/>
            <color indexed="81"/>
            <rFont val="Tahoma"/>
            <family val="2"/>
          </rPr>
          <t>Vilca Miranda Ricardo E.:</t>
        </r>
        <r>
          <rPr>
            <sz val="9"/>
            <color indexed="81"/>
            <rFont val="Tahoma"/>
            <family val="2"/>
          </rPr>
          <t xml:space="preserve">
agregar el avance,
30% Compra
80% Retiro de bodega
100 % Puesto en terreno</t>
        </r>
      </text>
    </comment>
    <comment ref="L57" authorId="0" shapeId="0" xr:uid="{80655AB0-06F8-423E-8694-00AAEC34FECE}">
      <text>
        <r>
          <rPr>
            <b/>
            <sz val="9"/>
            <color indexed="81"/>
            <rFont val="Tahoma"/>
            <family val="2"/>
          </rPr>
          <t>Vilca Miranda Ricardo E.:</t>
        </r>
        <r>
          <rPr>
            <sz val="9"/>
            <color indexed="81"/>
            <rFont val="Tahoma"/>
            <family val="2"/>
          </rPr>
          <t xml:space="preserve">
agregar el avance,
30% Compra
80% Retiro de bodega
100 % Puesto en terreno</t>
        </r>
      </text>
    </comment>
    <comment ref="L58" authorId="0" shapeId="0" xr:uid="{73F3E1AC-AB0C-43A7-8FD3-D292CA9935BC}">
      <text>
        <r>
          <rPr>
            <b/>
            <sz val="9"/>
            <color indexed="81"/>
            <rFont val="Tahoma"/>
            <family val="2"/>
          </rPr>
          <t>Vilca Miranda Ricardo E.:</t>
        </r>
        <r>
          <rPr>
            <sz val="9"/>
            <color indexed="81"/>
            <rFont val="Tahoma"/>
            <family val="2"/>
          </rPr>
          <t xml:space="preserve">
agregar el avance,
30% Compra
80% Retiro de bodega
100 % Puesto en terreno</t>
        </r>
      </text>
    </comment>
    <comment ref="L59" authorId="0" shapeId="0" xr:uid="{C22CA16B-AF70-4828-91FB-BD119B656C4D}">
      <text>
        <r>
          <rPr>
            <b/>
            <sz val="9"/>
            <color indexed="81"/>
            <rFont val="Tahoma"/>
            <family val="2"/>
          </rPr>
          <t>Vilca Miranda Ricardo E.:</t>
        </r>
        <r>
          <rPr>
            <sz val="9"/>
            <color indexed="81"/>
            <rFont val="Tahoma"/>
            <family val="2"/>
          </rPr>
          <t xml:space="preserve">
agregar el avance,
30% Compra
80% Retiro de bodega
100 % Puesto en terreno</t>
        </r>
      </text>
    </comment>
    <comment ref="L60" authorId="0" shapeId="0" xr:uid="{33B0096E-0C1C-4257-9FC5-D09EE57BCCFA}">
      <text>
        <r>
          <rPr>
            <b/>
            <sz val="9"/>
            <color indexed="81"/>
            <rFont val="Tahoma"/>
            <family val="2"/>
          </rPr>
          <t>Vilca Miranda Ricardo E.:</t>
        </r>
        <r>
          <rPr>
            <sz val="9"/>
            <color indexed="81"/>
            <rFont val="Tahoma"/>
            <family val="2"/>
          </rPr>
          <t xml:space="preserve">
agregar el avance,
30% Compra
80% Retiro de bodega
100 % Puesto en terreno</t>
        </r>
      </text>
    </comment>
    <comment ref="L61" authorId="0" shapeId="0" xr:uid="{A041A7EA-1F17-47D3-B32C-4B15D10077F2}">
      <text>
        <r>
          <rPr>
            <b/>
            <sz val="9"/>
            <color indexed="81"/>
            <rFont val="Tahoma"/>
            <family val="2"/>
          </rPr>
          <t>Vilca Miranda Ricardo E.:</t>
        </r>
        <r>
          <rPr>
            <sz val="9"/>
            <color indexed="81"/>
            <rFont val="Tahoma"/>
            <family val="2"/>
          </rPr>
          <t xml:space="preserve">
agregar el avance,
30% Compra
80% Retiro de bodega
100 % Puesto en terreno</t>
        </r>
      </text>
    </comment>
    <comment ref="L62" authorId="0" shapeId="0" xr:uid="{6CF0E33D-D531-44D6-BB2B-3AA868FD5D56}">
      <text>
        <r>
          <rPr>
            <b/>
            <sz val="9"/>
            <color indexed="81"/>
            <rFont val="Tahoma"/>
            <family val="2"/>
          </rPr>
          <t>Vilca Miranda Ricardo E.:</t>
        </r>
        <r>
          <rPr>
            <sz val="9"/>
            <color indexed="81"/>
            <rFont val="Tahoma"/>
            <family val="2"/>
          </rPr>
          <t xml:space="preserve">
agregar el avance,
30% Compra
80% Retiro de bodega
100 % Puesto en terreno</t>
        </r>
      </text>
    </comment>
    <comment ref="L63" authorId="0" shapeId="0" xr:uid="{F38507DC-151E-4404-9878-A5B05B464A32}">
      <text>
        <r>
          <rPr>
            <b/>
            <sz val="9"/>
            <color indexed="81"/>
            <rFont val="Tahoma"/>
            <family val="2"/>
          </rPr>
          <t>Vilca Miranda Ricardo E.:</t>
        </r>
        <r>
          <rPr>
            <sz val="9"/>
            <color indexed="81"/>
            <rFont val="Tahoma"/>
            <family val="2"/>
          </rPr>
          <t xml:space="preserve">
agregar el avance,
30% Compra
80% Retiro de bodega
100 % Puesto en terreno</t>
        </r>
      </text>
    </comment>
    <comment ref="L64" authorId="0" shapeId="0" xr:uid="{2F006AEA-16E2-4DFB-81A4-8D4CF1504A6F}">
      <text>
        <r>
          <rPr>
            <b/>
            <sz val="9"/>
            <color indexed="81"/>
            <rFont val="Tahoma"/>
            <family val="2"/>
          </rPr>
          <t>Vilca Miranda Ricardo E.:</t>
        </r>
        <r>
          <rPr>
            <sz val="9"/>
            <color indexed="81"/>
            <rFont val="Tahoma"/>
            <family val="2"/>
          </rPr>
          <t xml:space="preserve">
agregar el avance,
30% Compra
80% Retiro de bodega
100 % Puesto en terreno</t>
        </r>
      </text>
    </comment>
    <comment ref="L65" authorId="0" shapeId="0" xr:uid="{3A2CDDBE-D81D-4B5D-BEEB-0AF22DBB6BAC}">
      <text>
        <r>
          <rPr>
            <b/>
            <sz val="9"/>
            <color indexed="81"/>
            <rFont val="Tahoma"/>
            <family val="2"/>
          </rPr>
          <t>Vilca Miranda Ricardo E.:</t>
        </r>
        <r>
          <rPr>
            <sz val="9"/>
            <color indexed="81"/>
            <rFont val="Tahoma"/>
            <family val="2"/>
          </rPr>
          <t xml:space="preserve">
agregar el avance,
30% Compra
80% Retiro de bodega
100 % Puesto en terreno</t>
        </r>
      </text>
    </comment>
    <comment ref="L66" authorId="0" shapeId="0" xr:uid="{46247D28-2F0C-4B08-BEEA-5CD9BC952B4A}">
      <text>
        <r>
          <rPr>
            <b/>
            <sz val="9"/>
            <color indexed="81"/>
            <rFont val="Tahoma"/>
            <family val="2"/>
          </rPr>
          <t>Vilca Miranda Ricardo E.:</t>
        </r>
        <r>
          <rPr>
            <sz val="9"/>
            <color indexed="81"/>
            <rFont val="Tahoma"/>
            <family val="2"/>
          </rPr>
          <t xml:space="preserve">
agregar el avance,
30% Compra
80% Retiro de bodega
100 % Puesto en terreno</t>
        </r>
      </text>
    </comment>
    <comment ref="L67" authorId="0" shapeId="0" xr:uid="{90F4EA89-5001-411E-AA1F-A7F58CD90D4D}">
      <text>
        <r>
          <rPr>
            <b/>
            <sz val="9"/>
            <color indexed="81"/>
            <rFont val="Tahoma"/>
            <family val="2"/>
          </rPr>
          <t>Vilca Miranda Ricardo E.:</t>
        </r>
        <r>
          <rPr>
            <sz val="9"/>
            <color indexed="81"/>
            <rFont val="Tahoma"/>
            <family val="2"/>
          </rPr>
          <t xml:space="preserve">
agregar el avance,
30% Compra
80% Retiro de bodega
100 % Puesto en terreno</t>
        </r>
      </text>
    </comment>
    <comment ref="L68" authorId="0" shapeId="0" xr:uid="{0B0743AA-85A6-4415-9ECC-26329BD8A506}">
      <text>
        <r>
          <rPr>
            <b/>
            <sz val="9"/>
            <color indexed="81"/>
            <rFont val="Tahoma"/>
            <family val="2"/>
          </rPr>
          <t>Vilca Miranda Ricardo E.:</t>
        </r>
        <r>
          <rPr>
            <sz val="9"/>
            <color indexed="81"/>
            <rFont val="Tahoma"/>
            <family val="2"/>
          </rPr>
          <t xml:space="preserve">
agregar el avance,
30% Compra
80% Retiro de bodega
100 % Puesto en terreno</t>
        </r>
      </text>
    </comment>
    <comment ref="L69" authorId="0" shapeId="0" xr:uid="{CBF5679B-7902-4C4E-A6B6-544F60D18A95}">
      <text>
        <r>
          <rPr>
            <b/>
            <sz val="9"/>
            <color indexed="81"/>
            <rFont val="Tahoma"/>
            <family val="2"/>
          </rPr>
          <t>Vilca Miranda Ricardo E.:</t>
        </r>
        <r>
          <rPr>
            <sz val="9"/>
            <color indexed="81"/>
            <rFont val="Tahoma"/>
            <family val="2"/>
          </rPr>
          <t xml:space="preserve">
agregar el avance,
30% Compra
80% Retiro de bodega
100 % Puesto en terreno</t>
        </r>
      </text>
    </comment>
    <comment ref="L70" authorId="0" shapeId="0" xr:uid="{B46716E8-8CC8-4B70-9EBA-FFC38086962E}">
      <text>
        <r>
          <rPr>
            <b/>
            <sz val="9"/>
            <color indexed="81"/>
            <rFont val="Tahoma"/>
            <family val="2"/>
          </rPr>
          <t>Vilca Miranda Ricardo E.:</t>
        </r>
        <r>
          <rPr>
            <sz val="9"/>
            <color indexed="81"/>
            <rFont val="Tahoma"/>
            <family val="2"/>
          </rPr>
          <t xml:space="preserve">
agregar el avance,
30% Compra
80% Retiro de bodega
100 % Puesto en terreno</t>
        </r>
      </text>
    </comment>
    <comment ref="L71" authorId="0" shapeId="0" xr:uid="{7A626516-4129-43C2-A84D-1C7E732D92A4}">
      <text>
        <r>
          <rPr>
            <b/>
            <sz val="9"/>
            <color indexed="81"/>
            <rFont val="Tahoma"/>
            <family val="2"/>
          </rPr>
          <t>Vilca Miranda Ricardo E.:</t>
        </r>
        <r>
          <rPr>
            <sz val="9"/>
            <color indexed="81"/>
            <rFont val="Tahoma"/>
            <family val="2"/>
          </rPr>
          <t xml:space="preserve">
agregar el avance,
30% Compra
80% Retiro de bodega
100 % Puesto en terreno</t>
        </r>
      </text>
    </comment>
    <comment ref="L72" authorId="0" shapeId="0" xr:uid="{0AE01DAE-1419-407E-89AD-13D84A3CB840}">
      <text>
        <r>
          <rPr>
            <b/>
            <sz val="9"/>
            <color indexed="81"/>
            <rFont val="Tahoma"/>
            <family val="2"/>
          </rPr>
          <t>Vilca Miranda Ricardo E.:</t>
        </r>
        <r>
          <rPr>
            <sz val="9"/>
            <color indexed="81"/>
            <rFont val="Tahoma"/>
            <family val="2"/>
          </rPr>
          <t xml:space="preserve">
agregar el avance,
30% Compra
80% Retiro de bodega
100 % Puesto en terreno</t>
        </r>
      </text>
    </comment>
    <comment ref="L74" authorId="0" shapeId="0" xr:uid="{544C3059-9782-43AD-AF35-165F229B9588}">
      <text>
        <r>
          <rPr>
            <b/>
            <sz val="9"/>
            <color indexed="81"/>
            <rFont val="Tahoma"/>
            <family val="2"/>
          </rPr>
          <t>Vilca Miranda Ricardo E.:</t>
        </r>
        <r>
          <rPr>
            <sz val="9"/>
            <color indexed="81"/>
            <rFont val="Tahoma"/>
            <family val="2"/>
          </rPr>
          <t xml:space="preserve">
agregar el avance,
30% Compra
80% Retiro de bodega
100 % Puesto en terreno</t>
        </r>
      </text>
    </comment>
    <comment ref="L75" authorId="0" shapeId="0" xr:uid="{CD676BE5-16EB-4D5A-9F39-A763882FAA63}">
      <text>
        <r>
          <rPr>
            <b/>
            <sz val="9"/>
            <color indexed="81"/>
            <rFont val="Tahoma"/>
            <family val="2"/>
          </rPr>
          <t>Vilca Miranda Ricardo E.:</t>
        </r>
        <r>
          <rPr>
            <sz val="9"/>
            <color indexed="81"/>
            <rFont val="Tahoma"/>
            <family val="2"/>
          </rPr>
          <t xml:space="preserve">
agregar el avance,
30% Compra
80% Retiro de bodega
100 % Puesto en terreno</t>
        </r>
      </text>
    </comment>
    <comment ref="L76" authorId="0" shapeId="0" xr:uid="{E91901B9-0D83-4A45-9D98-1A1F4A2AE9B3}">
      <text>
        <r>
          <rPr>
            <b/>
            <sz val="9"/>
            <color indexed="81"/>
            <rFont val="Tahoma"/>
            <family val="2"/>
          </rPr>
          <t>Vilca Miranda Ricardo E.:</t>
        </r>
        <r>
          <rPr>
            <sz val="9"/>
            <color indexed="81"/>
            <rFont val="Tahoma"/>
            <family val="2"/>
          </rPr>
          <t xml:space="preserve">
agregar el avance,
30% Compra
80% Retiro de bodega
100 % Puesto en terreno</t>
        </r>
      </text>
    </comment>
    <comment ref="L77" authorId="0" shapeId="0" xr:uid="{75937ED2-9AB5-4BB1-B229-140A989FFC84}">
      <text>
        <r>
          <rPr>
            <b/>
            <sz val="9"/>
            <color indexed="81"/>
            <rFont val="Tahoma"/>
            <family val="2"/>
          </rPr>
          <t>Vilca Miranda Ricardo E.:</t>
        </r>
        <r>
          <rPr>
            <sz val="9"/>
            <color indexed="81"/>
            <rFont val="Tahoma"/>
            <family val="2"/>
          </rPr>
          <t xml:space="preserve">
agregar el avance,
30% Compra
80% Retiro de bodega
100 % Puesto en terreno</t>
        </r>
      </text>
    </comment>
    <comment ref="L82" authorId="0" shapeId="0" xr:uid="{3D69F0C7-194F-42CE-922B-0EEEAA00C02F}">
      <text>
        <r>
          <rPr>
            <b/>
            <sz val="9"/>
            <color indexed="81"/>
            <rFont val="Tahoma"/>
            <family val="2"/>
          </rPr>
          <t>Vilca Miranda Ricardo E.:</t>
        </r>
        <r>
          <rPr>
            <sz val="9"/>
            <color indexed="81"/>
            <rFont val="Tahoma"/>
            <family val="2"/>
          </rPr>
          <t xml:space="preserve">
agregar el avance,
30% Compra
80% Retiro de bodega
100 % Puesto en terreno</t>
        </r>
      </text>
    </comment>
    <comment ref="L89" authorId="0" shapeId="0" xr:uid="{26100EBF-3897-4743-AE39-BD11B492075E}">
      <text>
        <r>
          <rPr>
            <b/>
            <sz val="9"/>
            <color indexed="81"/>
            <rFont val="Tahoma"/>
            <family val="2"/>
          </rPr>
          <t>Vilca Miranda Ricardo E.:</t>
        </r>
        <r>
          <rPr>
            <sz val="9"/>
            <color indexed="81"/>
            <rFont val="Tahoma"/>
            <family val="2"/>
          </rPr>
          <t xml:space="preserve">
agregar el avance,
30% Compra
80% Retiro de bodega
100 % Puesto en terreno</t>
        </r>
      </text>
    </comment>
    <comment ref="L90" authorId="0" shapeId="0" xr:uid="{71AC5D2B-214E-478A-8017-CEC174C34A81}">
      <text>
        <r>
          <rPr>
            <b/>
            <sz val="9"/>
            <color indexed="81"/>
            <rFont val="Tahoma"/>
            <family val="2"/>
          </rPr>
          <t>Vilca Miranda Ricardo E.:</t>
        </r>
        <r>
          <rPr>
            <sz val="9"/>
            <color indexed="81"/>
            <rFont val="Tahoma"/>
            <family val="2"/>
          </rPr>
          <t xml:space="preserve">
agregar el avance,
30% Compra
80% Retiro de bodega
100 % Puesto en terreno</t>
        </r>
      </text>
    </comment>
    <comment ref="L91" authorId="0" shapeId="0" xr:uid="{0F2921D7-5244-482B-B361-47A8F1694DB3}">
      <text>
        <r>
          <rPr>
            <b/>
            <sz val="9"/>
            <color indexed="81"/>
            <rFont val="Tahoma"/>
            <family val="2"/>
          </rPr>
          <t>Vilca Miranda Ricardo E.:</t>
        </r>
        <r>
          <rPr>
            <sz val="9"/>
            <color indexed="81"/>
            <rFont val="Tahoma"/>
            <family val="2"/>
          </rPr>
          <t xml:space="preserve">
agregar el avance,
30% Compra
80% Retiro de bodega
100 % Puesto en terreno</t>
        </r>
      </text>
    </comment>
    <comment ref="L92" authorId="0" shapeId="0" xr:uid="{528A8D04-00A3-471B-AB4E-867D16B2D0A3}">
      <text>
        <r>
          <rPr>
            <b/>
            <sz val="9"/>
            <color indexed="81"/>
            <rFont val="Tahoma"/>
            <family val="2"/>
          </rPr>
          <t>Vilca Miranda Ricardo E.:</t>
        </r>
        <r>
          <rPr>
            <sz val="9"/>
            <color indexed="81"/>
            <rFont val="Tahoma"/>
            <family val="2"/>
          </rPr>
          <t xml:space="preserve">
agregar el avance,
30% Compra
80% Retiro de bodega
100 % Puesto en terreno</t>
        </r>
      </text>
    </comment>
    <comment ref="L94" authorId="0" shapeId="0" xr:uid="{0B8755E8-7C39-4EE5-A378-62DCB08BEB92}">
      <text>
        <r>
          <rPr>
            <b/>
            <sz val="9"/>
            <color indexed="81"/>
            <rFont val="Tahoma"/>
            <family val="2"/>
          </rPr>
          <t>Vilca Miranda Ricardo E.:</t>
        </r>
        <r>
          <rPr>
            <sz val="9"/>
            <color indexed="81"/>
            <rFont val="Tahoma"/>
            <family val="2"/>
          </rPr>
          <t xml:space="preserve">
agregar el avance,
30% Compra
80% Retiro de bodega
100 % Puesto en terreno</t>
        </r>
      </text>
    </comment>
    <comment ref="L95" authorId="0" shapeId="0" xr:uid="{21E50A78-1A61-418F-81E0-37509F263DF1}">
      <text>
        <r>
          <rPr>
            <b/>
            <sz val="9"/>
            <color indexed="81"/>
            <rFont val="Tahoma"/>
            <family val="2"/>
          </rPr>
          <t>Vilca Miranda Ricardo E.:</t>
        </r>
        <r>
          <rPr>
            <sz val="9"/>
            <color indexed="81"/>
            <rFont val="Tahoma"/>
            <family val="2"/>
          </rPr>
          <t xml:space="preserve">
agregar el avance,
30% Compra
80% Retiro de bodega
100 % Puesto en terreno</t>
        </r>
      </text>
    </comment>
    <comment ref="L96" authorId="0" shapeId="0" xr:uid="{857DDF99-DF01-4703-BB2C-49365E31FA08}">
      <text>
        <r>
          <rPr>
            <b/>
            <sz val="9"/>
            <color indexed="81"/>
            <rFont val="Tahoma"/>
            <family val="2"/>
          </rPr>
          <t>Vilca Miranda Ricardo E.:</t>
        </r>
        <r>
          <rPr>
            <sz val="9"/>
            <color indexed="81"/>
            <rFont val="Tahoma"/>
            <family val="2"/>
          </rPr>
          <t xml:space="preserve">
agregar el avance,
30% Compra
80% Retiro de bodega
100 % Puesto en terreno</t>
        </r>
      </text>
    </comment>
    <comment ref="L97" authorId="0" shapeId="0" xr:uid="{1689E335-0EF4-4D81-B6A2-B9F2993A2748}">
      <text>
        <r>
          <rPr>
            <b/>
            <sz val="9"/>
            <color indexed="81"/>
            <rFont val="Tahoma"/>
            <family val="2"/>
          </rPr>
          <t>Vilca Miranda Ricardo E.:</t>
        </r>
        <r>
          <rPr>
            <sz val="9"/>
            <color indexed="81"/>
            <rFont val="Tahoma"/>
            <family val="2"/>
          </rPr>
          <t xml:space="preserve">
agregar el avance,
30% Compra
80% Retiro de bodega
100 % Puesto en terreno</t>
        </r>
      </text>
    </comment>
    <comment ref="L98" authorId="0" shapeId="0" xr:uid="{7B8E3BF0-059A-45B9-BEDD-E8FA5D0B4618}">
      <text>
        <r>
          <rPr>
            <b/>
            <sz val="9"/>
            <color indexed="81"/>
            <rFont val="Tahoma"/>
            <family val="2"/>
          </rPr>
          <t>Vilca Miranda Ricardo E.:</t>
        </r>
        <r>
          <rPr>
            <sz val="9"/>
            <color indexed="81"/>
            <rFont val="Tahoma"/>
            <family val="2"/>
          </rPr>
          <t xml:space="preserve">
agregar el avance,
30% Compra
80% Retiro de bodega
100 % Puesto en terreno</t>
        </r>
      </text>
    </comment>
    <comment ref="L99" authorId="0" shapeId="0" xr:uid="{DF26B64B-4942-46AD-8D3F-BD6AB343FD10}">
      <text>
        <r>
          <rPr>
            <b/>
            <sz val="9"/>
            <color indexed="81"/>
            <rFont val="Tahoma"/>
            <family val="2"/>
          </rPr>
          <t>Vilca Miranda Ricardo E.:</t>
        </r>
        <r>
          <rPr>
            <sz val="9"/>
            <color indexed="81"/>
            <rFont val="Tahoma"/>
            <family val="2"/>
          </rPr>
          <t xml:space="preserve">
agregar el avance,
30% Compra
80% Retiro de bodega
100 % Puesto en terreno</t>
        </r>
      </text>
    </comment>
    <comment ref="L100" authorId="0" shapeId="0" xr:uid="{CDF2FF63-B012-402D-8873-BDE72212788A}">
      <text>
        <r>
          <rPr>
            <b/>
            <sz val="9"/>
            <color indexed="81"/>
            <rFont val="Tahoma"/>
            <family val="2"/>
          </rPr>
          <t>Vilca Miranda Ricardo E.:</t>
        </r>
        <r>
          <rPr>
            <sz val="9"/>
            <color indexed="81"/>
            <rFont val="Tahoma"/>
            <family val="2"/>
          </rPr>
          <t xml:space="preserve">
agregar el avance,
30% Compra
80% Retiro de bodega
100 % Puesto en terreno</t>
        </r>
      </text>
    </comment>
    <comment ref="L101" authorId="0" shapeId="0" xr:uid="{00623C0F-1A5F-4A97-A273-7C4B0D226ED3}">
      <text>
        <r>
          <rPr>
            <b/>
            <sz val="9"/>
            <color indexed="81"/>
            <rFont val="Tahoma"/>
            <family val="2"/>
          </rPr>
          <t>Vilca Miranda Ricardo E.:</t>
        </r>
        <r>
          <rPr>
            <sz val="9"/>
            <color indexed="81"/>
            <rFont val="Tahoma"/>
            <family val="2"/>
          </rPr>
          <t xml:space="preserve">
agregar el avance,
30% Compra
80% Retiro de bodega
100 % Puesto en terreno</t>
        </r>
      </text>
    </comment>
    <comment ref="L103" authorId="0" shapeId="0" xr:uid="{4544DE9C-F0D8-4E05-8207-81FC68CD9295}">
      <text>
        <r>
          <rPr>
            <b/>
            <sz val="9"/>
            <color indexed="81"/>
            <rFont val="Tahoma"/>
            <family val="2"/>
          </rPr>
          <t>Vilca Miranda Ricardo E.:</t>
        </r>
        <r>
          <rPr>
            <sz val="9"/>
            <color indexed="81"/>
            <rFont val="Tahoma"/>
            <family val="2"/>
          </rPr>
          <t xml:space="preserve">
agregar el avance,
30% Compra
80% Retiro de bodega
100 % Puesto en terreno</t>
        </r>
      </text>
    </comment>
    <comment ref="L105" authorId="0" shapeId="0" xr:uid="{7B552049-8C15-44D2-B9C6-719F9DBD5C63}">
      <text>
        <r>
          <rPr>
            <b/>
            <sz val="9"/>
            <color indexed="81"/>
            <rFont val="Tahoma"/>
            <family val="2"/>
          </rPr>
          <t>Vilca Miranda Ricardo E.:</t>
        </r>
        <r>
          <rPr>
            <sz val="9"/>
            <color indexed="81"/>
            <rFont val="Tahoma"/>
            <family val="2"/>
          </rPr>
          <t xml:space="preserve">
agregar el avance,
30% Compra
80% Retiro de bodega
100 % Puesto en terreno</t>
        </r>
      </text>
    </comment>
    <comment ref="L106" authorId="0" shapeId="0" xr:uid="{21934911-B48C-4B18-BD18-897F27730944}">
      <text>
        <r>
          <rPr>
            <b/>
            <sz val="9"/>
            <color indexed="81"/>
            <rFont val="Tahoma"/>
            <family val="2"/>
          </rPr>
          <t>Vilca Miranda Ricardo E.:</t>
        </r>
        <r>
          <rPr>
            <sz val="9"/>
            <color indexed="81"/>
            <rFont val="Tahoma"/>
            <family val="2"/>
          </rPr>
          <t xml:space="preserve">
agregar el avance,
30% Compra
80% Retiro de bodega
100 % Puesto en terreno</t>
        </r>
      </text>
    </comment>
    <comment ref="L107" authorId="0" shapeId="0" xr:uid="{B19DDECB-9457-462F-BDA7-C4BF7AE0F508}">
      <text>
        <r>
          <rPr>
            <b/>
            <sz val="9"/>
            <color indexed="81"/>
            <rFont val="Tahoma"/>
            <family val="2"/>
          </rPr>
          <t>Vilca Miranda Ricardo E.:</t>
        </r>
        <r>
          <rPr>
            <sz val="9"/>
            <color indexed="81"/>
            <rFont val="Tahoma"/>
            <family val="2"/>
          </rPr>
          <t xml:space="preserve">
agregar el avance,
30% Compra
80% Retiro de bodega
100 % Puesto en terreno</t>
        </r>
      </text>
    </comment>
    <comment ref="L108" authorId="0" shapeId="0" xr:uid="{FE7C8954-F05D-4110-B5B0-EBAFA0A82473}">
      <text>
        <r>
          <rPr>
            <b/>
            <sz val="9"/>
            <color indexed="81"/>
            <rFont val="Tahoma"/>
            <family val="2"/>
          </rPr>
          <t>Vilca Miranda Ricardo E.:</t>
        </r>
        <r>
          <rPr>
            <sz val="9"/>
            <color indexed="81"/>
            <rFont val="Tahoma"/>
            <family val="2"/>
          </rPr>
          <t xml:space="preserve">
agregar el avance,
30% Compra
80% Retiro de bodega
100 % Puesto en terreno</t>
        </r>
      </text>
    </comment>
    <comment ref="L109" authorId="0" shapeId="0" xr:uid="{12DEDD96-915B-487E-A612-7085322AE988}">
      <text>
        <r>
          <rPr>
            <b/>
            <sz val="9"/>
            <color indexed="81"/>
            <rFont val="Tahoma"/>
            <family val="2"/>
          </rPr>
          <t>Vilca Miranda Ricardo E.:</t>
        </r>
        <r>
          <rPr>
            <sz val="9"/>
            <color indexed="81"/>
            <rFont val="Tahoma"/>
            <family val="2"/>
          </rPr>
          <t xml:space="preserve">
agregar el avance,
30% Compra
80% Retiro de bodega
100 % Puesto en terreno</t>
        </r>
      </text>
    </comment>
    <comment ref="L111" authorId="0" shapeId="0" xr:uid="{3FFF3DA1-9DC5-4A8A-BB12-E5FF26C2A657}">
      <text>
        <r>
          <rPr>
            <b/>
            <sz val="9"/>
            <color indexed="81"/>
            <rFont val="Tahoma"/>
            <family val="2"/>
          </rPr>
          <t>Vilca Miranda Ricardo E.:</t>
        </r>
        <r>
          <rPr>
            <sz val="9"/>
            <color indexed="81"/>
            <rFont val="Tahoma"/>
            <family val="2"/>
          </rPr>
          <t xml:space="preserve">
agregar el avance,
30% Compra
80% Retiro de bodega
100 % Puesto en terreno</t>
        </r>
      </text>
    </comment>
    <comment ref="L112" authorId="0" shapeId="0" xr:uid="{D57F6002-7E58-4DD8-8108-6EA99FF13D7B}">
      <text>
        <r>
          <rPr>
            <b/>
            <sz val="9"/>
            <color indexed="81"/>
            <rFont val="Tahoma"/>
            <family val="2"/>
          </rPr>
          <t>Vilca Miranda Ricardo E.:</t>
        </r>
        <r>
          <rPr>
            <sz val="9"/>
            <color indexed="81"/>
            <rFont val="Tahoma"/>
            <family val="2"/>
          </rPr>
          <t xml:space="preserve">
agregar el avance,
30% Compra
80% Retiro de bodega
100 % Puesto en terreno</t>
        </r>
      </text>
    </comment>
    <comment ref="L113" authorId="0" shapeId="0" xr:uid="{DD3DD436-ABCF-464B-9A6F-0BA0633EFBA7}">
      <text>
        <r>
          <rPr>
            <b/>
            <sz val="9"/>
            <color indexed="81"/>
            <rFont val="Tahoma"/>
            <family val="2"/>
          </rPr>
          <t>Vilca Miranda Ricardo E.:</t>
        </r>
        <r>
          <rPr>
            <sz val="9"/>
            <color indexed="81"/>
            <rFont val="Tahoma"/>
            <family val="2"/>
          </rPr>
          <t xml:space="preserve">
agregar el avance,
30% Compra
80% Retiro de bodega
100 % Puesto en terreno</t>
        </r>
      </text>
    </comment>
    <comment ref="L114" authorId="0" shapeId="0" xr:uid="{65D9F3AC-9A0E-48F6-B494-EF985EFBD87D}">
      <text>
        <r>
          <rPr>
            <b/>
            <sz val="9"/>
            <color indexed="81"/>
            <rFont val="Tahoma"/>
            <family val="2"/>
          </rPr>
          <t>Vilca Miranda Ricardo E.:</t>
        </r>
        <r>
          <rPr>
            <sz val="9"/>
            <color indexed="81"/>
            <rFont val="Tahoma"/>
            <family val="2"/>
          </rPr>
          <t xml:space="preserve">
agregar el avance,
30% Compra
80% Retiro de bodega
100 % Puesto en terreno</t>
        </r>
      </text>
    </comment>
    <comment ref="L115" authorId="0" shapeId="0" xr:uid="{009ECE21-0F9E-4205-B36F-7ADD82F8A0D4}">
      <text>
        <r>
          <rPr>
            <b/>
            <sz val="9"/>
            <color indexed="81"/>
            <rFont val="Tahoma"/>
            <family val="2"/>
          </rPr>
          <t>Vilca Miranda Ricardo E.:</t>
        </r>
        <r>
          <rPr>
            <sz val="9"/>
            <color indexed="81"/>
            <rFont val="Tahoma"/>
            <family val="2"/>
          </rPr>
          <t xml:space="preserve">
agregar el avance,
30% Compra
80% Retiro de bodega
100 % Puesto en terreno</t>
        </r>
      </text>
    </comment>
  </commentList>
</comments>
</file>

<file path=xl/sharedStrings.xml><?xml version="1.0" encoding="utf-8"?>
<sst xmlns="http://schemas.openxmlformats.org/spreadsheetml/2006/main" count="4416" uniqueCount="1725">
  <si>
    <t>ID</t>
  </si>
  <si>
    <t>Title</t>
  </si>
  <si>
    <t>l ids</t>
  </si>
  <si>
    <t>Concentradora Linea 1</t>
  </si>
  <si>
    <t/>
  </si>
  <si>
    <t>Concentradora Linea 2</t>
  </si>
  <si>
    <t>Concentradora Linea 3</t>
  </si>
  <si>
    <t>Planta Lavado Pebbles</t>
  </si>
  <si>
    <t>Planta chancado Pebbles</t>
  </si>
  <si>
    <t>Planta CAL 1</t>
  </si>
  <si>
    <t>Planta CAL 2</t>
  </si>
  <si>
    <t>Planta Xantato</t>
  </si>
  <si>
    <t>Planta Floculante</t>
  </si>
  <si>
    <t>Chancado – Area 2 / Fase 2</t>
  </si>
  <si>
    <t>Chancado – Area 3</t>
  </si>
  <si>
    <t>Chancado Fase 1</t>
  </si>
  <si>
    <t>Chancado Fase 2</t>
  </si>
  <si>
    <t>Flotación</t>
  </si>
  <si>
    <t>RAM</t>
  </si>
  <si>
    <t>Mineroducto</t>
  </si>
  <si>
    <t>Puerto</t>
  </si>
  <si>
    <t>Planta Molibdeno</t>
  </si>
  <si>
    <t>Planta Filtros</t>
  </si>
  <si>
    <t>Area Humeda</t>
  </si>
  <si>
    <t>Pilas de lixiviación</t>
  </si>
  <si>
    <t>Area Seca</t>
  </si>
  <si>
    <t>Nombre de tarea</t>
  </si>
  <si>
    <t>Ponderacion</t>
  </si>
  <si>
    <t>Asignado a</t>
  </si>
  <si>
    <t>Actividad</t>
  </si>
  <si>
    <t>AvancePlanificado</t>
  </si>
  <si>
    <t>AvanceReal</t>
  </si>
  <si>
    <t>Descripción</t>
  </si>
  <si>
    <t>Fecha de inicio</t>
  </si>
  <si>
    <t>Fecha de vencimiento</t>
  </si>
  <si>
    <t>Activo</t>
  </si>
  <si>
    <t>Validada</t>
  </si>
  <si>
    <t>Comentarios</t>
  </si>
  <si>
    <t>01 Creacion y difusion Matriz de riesgo SD Mantención</t>
  </si>
  <si>
    <t>Lizama Donoso Andrés A. (AALIZAMA@collahuasi.cl)</t>
  </si>
  <si>
    <t>A. PLANIFICACION DEL MANTENIMIENTO</t>
  </si>
  <si>
    <t>Sí</t>
  </si>
  <si>
    <t>0</t>
  </si>
  <si>
    <t>Cornejo Sanchez Fernando A. (FACORNEJO@collahuasi.cl)</t>
  </si>
  <si>
    <t>03 Generacion de carta gantt base para mantencion</t>
  </si>
  <si>
    <t>04 Revision de WR para mantencion</t>
  </si>
  <si>
    <t>05 Revision de MST para la mantención</t>
  </si>
  <si>
    <t>06 Revision de Backlog (Ots derivadas del corto plazo para Mantenciones SD)</t>
  </si>
  <si>
    <t>09 Creacion de Ots Padres por equipos</t>
  </si>
  <si>
    <t>10 Creacion de Ordenes de trabajo y compromiso en ellipse para los Grupos</t>
  </si>
  <si>
    <t>No</t>
  </si>
  <si>
    <t>12 Preparacion de reportabilidad avances y curva "S"</t>
  </si>
  <si>
    <t>13 Generar y  controlar "Mapa Requerimientos".</t>
  </si>
  <si>
    <t>Romero Carvajal Nelson A. (NAROMERO@collahuasi.cl)</t>
  </si>
  <si>
    <t>14 Reunion: Definicion de Actividades de mantencion con involucrados por equipos</t>
  </si>
  <si>
    <t>15 Envio carta gantt en revision preliminar - Rev. A-B-C</t>
  </si>
  <si>
    <t>16 Envio carta gantt revision 0</t>
  </si>
  <si>
    <t>17 Reunion N°1 - Presentacion del programa mantencion</t>
  </si>
  <si>
    <t>18 Caminata de Mantención</t>
  </si>
  <si>
    <t>19 Envio carta gantt en revision final</t>
  </si>
  <si>
    <t>20 Reunion N°2 - Presentacion del programa mantencion Final</t>
  </si>
  <si>
    <t>21 Definicion de ruta critica de actividades del mantenimiento</t>
  </si>
  <si>
    <t>22 Imprimir Ordenes de Trabajo</t>
  </si>
  <si>
    <t>23 Retiro de Ots del programa por parte de CMDIC y ESED ejecutantes</t>
  </si>
  <si>
    <t>Saravia Ibacache Alain J. (AJSARAVIA@collahuasi.cl)</t>
  </si>
  <si>
    <t>Oyarce Sarmiento Mario R. (MROYARCE@collahuasi.cl)</t>
  </si>
  <si>
    <t>Gomez Araya Freddy Andres (FAGOMEZ@collahuasi.cl)</t>
  </si>
  <si>
    <t>Santibañez Astudillo René A. (RASANTIB@collahuasi.cl)</t>
  </si>
  <si>
    <t>Tapia Godoy Arturo  A. (AATAPIA@collahuasi.cl)</t>
  </si>
  <si>
    <t>Sanchez Vargas Miguel A. (MASANCHEZ@collahuasi.cl)</t>
  </si>
  <si>
    <t>Arellano Gorigoitia Sergio A. (SAARELLA@collahuasi.cl)</t>
  </si>
  <si>
    <t>Luna Castillo Juan A. (JALUNA@collahuasi.cl)</t>
  </si>
  <si>
    <t>Palomo Gonzalez Raul J. (RJPALOMOG@collahuasi.cl)</t>
  </si>
  <si>
    <t>Marincovich Morales Ivan A. (IAMARINCOV@collahuasi.cl)</t>
  </si>
  <si>
    <t>Karamano Arce Dimitri G (DGKAMARANO@collahuasi.cl)</t>
  </si>
  <si>
    <t>01 Revision de Registros de incidentes SSO, mantenciones anteriores</t>
  </si>
  <si>
    <t>Gaete Rodriguez Pablo G. (PGGAETE@collahuasi.cl)</t>
  </si>
  <si>
    <t>02 Programa de trabajo  Seguridad y Salud</t>
  </si>
  <si>
    <t>03 Reunion N°1 - Gestion de Riesgos asociados a la Mantencion</t>
  </si>
  <si>
    <t>04 Reunion N°2 - Gestion de Riesgos asociados a la Mantencion</t>
  </si>
  <si>
    <t>Advis Sobrado Patricio J. (PJADVIS@collahuasi.cl)</t>
  </si>
  <si>
    <t>Lucero Germany Pedro C. (pclucero@collahuasi.cl)</t>
  </si>
  <si>
    <t>Aravena Q. Eduardo E. (EEARAVEN@collahuasi.cl)</t>
  </si>
  <si>
    <t>Urquiola Arevalo Marcelo F. (MFURQUIOLA@collahuasi.cl)</t>
  </si>
  <si>
    <t>02 Generacion de distribucion del personal de mantenimiento</t>
  </si>
  <si>
    <t>Pelissier Montero Ian S. (ISPELIS@collahuasi.cl)</t>
  </si>
  <si>
    <t>Jara Inostroza Marcelo I. (MIJARA@collahuasi.cl)</t>
  </si>
  <si>
    <t>Veliz Rojas Eduardo E. (EEVELIZ@collahuasi.cl)</t>
  </si>
  <si>
    <t>Cruz Connell Juan C. (JCCRUZ@collahuasi.cl)</t>
  </si>
  <si>
    <t>Poblete Escalona Claudia A. (CAPOBLETE@collahuasi.cl)</t>
  </si>
  <si>
    <t>Contreras Monardez Eric (EMCONTRERAS@collahuasi.cl)</t>
  </si>
  <si>
    <t>11 Verificar llegada de equipos de apoyo solicitados</t>
  </si>
  <si>
    <t>Valdivia Maggi Nicton (NHVALDIVIA@collahuasi.cl)</t>
  </si>
  <si>
    <t>I. GESTION DE PERSONAS</t>
  </si>
  <si>
    <t>​02 Induccion tecnica del trabajo (induccion tecnica) - INSTRUMENTACION</t>
  </si>
  <si>
    <t>05 Induccion tecnica del trabajo (induccion tecnica) - ELECTRICO</t>
  </si>
  <si>
    <t>06 Plan Gestion de competencias - MECANICOS</t>
  </si>
  <si>
    <t>07 Plan Gestion de competencias - ELECTRICOS</t>
  </si>
  <si>
    <t>08 Plan Gestion de competencias - SIAC</t>
  </si>
  <si>
    <t>Barros Campos Christian M. (CMBARROS@collahuasi.cl)</t>
  </si>
  <si>
    <t>J. GESTION Y CONTROL DE LA EJECUCION DEL MANTENIMIENTO</t>
  </si>
  <si>
    <t xml:space="preserve">01 Listado de equipos y sus controles de calidad </t>
  </si>
  <si>
    <t>02 Plan de tiempos asociados a pruebas y puesta en marcha (Según listado)</t>
  </si>
  <si>
    <t>01 Cumplimiento de Programa</t>
  </si>
  <si>
    <t>K. GESTION CIERRE MANTENIMIENTO</t>
  </si>
  <si>
    <t>03 Cierre de OT en Ellipse por parte de empresas ESED</t>
  </si>
  <si>
    <t>04 Cierre de OT en Ellipse por parte de CMDIC</t>
  </si>
  <si>
    <t>05 Reporte de cierres de Ordenes de trabajo del SD</t>
  </si>
  <si>
    <t>06 Backlog post Mantenimiento; (Con Observación de no desarrollo de actividades)</t>
  </si>
  <si>
    <t>07 Resumen de actividades Postergadas con formularios</t>
  </si>
  <si>
    <t>Vernal Capetillo Francisco H. (FHVERNAL@collahuasi.cl)</t>
  </si>
  <si>
    <t>Chancado y Transporte</t>
  </si>
  <si>
    <t>Molienda</t>
  </si>
  <si>
    <t>Chancado Pebbles</t>
  </si>
  <si>
    <t>Lavado Pebbles</t>
  </si>
  <si>
    <t>Cal y Reactivos</t>
  </si>
  <si>
    <t>Espesamiento</t>
  </si>
  <si>
    <t>Tranque</t>
  </si>
  <si>
    <t>Suministro y Calidad de Aguas</t>
  </si>
  <si>
    <t>Lixiviación</t>
  </si>
  <si>
    <t>Codigo</t>
  </si>
  <si>
    <t>Responsables</t>
  </si>
  <si>
    <t>Proceso</t>
  </si>
  <si>
    <t>AreasTrabajo</t>
  </si>
  <si>
    <t>Descripcion</t>
  </si>
  <si>
    <t>FechaInicio</t>
  </si>
  <si>
    <t>FechaVencimiento</t>
  </si>
  <si>
    <t>Length</t>
  </si>
  <si>
    <t>Titulo</t>
  </si>
  <si>
    <t>Tareas</t>
  </si>
  <si>
    <t>PonderacionActividad</t>
  </si>
  <si>
    <t>Chars</t>
  </si>
  <si>
    <t>Alfaro Morgado Leonardo I. (LIALFARO@collahuasi.cl)</t>
  </si>
  <si>
    <t>Avalos Gabilondo Luis E. (LEAVALOS@collahuasi.cl)</t>
  </si>
  <si>
    <t>Bugueño Gonzalez Julio A. (JABUGUENO@COLLAHUASI.CL)</t>
  </si>
  <si>
    <t>Donoso Nogales Pedro A. (PADONOSO@collahuasi.cl)</t>
  </si>
  <si>
    <t>Figueroa Garrido Fabian E. (FEFIGUEROA@collahuasi.cl)</t>
  </si>
  <si>
    <t>Isasmendi Merino Javier I. (Javier.isasmendi@collahuasi.cl)</t>
  </si>
  <si>
    <t>Melo Miranda Fernando A. (FMELO@collahuasi.cl)</t>
  </si>
  <si>
    <t>Meriño Martinez Máximo E. (MEMERINO@collahuasi.cl)</t>
  </si>
  <si>
    <t>Tapia Flores Juan C. (JCTAPIAF@collahuasi.cl)</t>
  </si>
  <si>
    <t>Valdes Diaz Felipe A. (FAVALDES@collahuasi.cl)</t>
  </si>
  <si>
    <t>Valencia Yañez Guillermo G. (GGVALENC.ESED@collahuasi.cl)</t>
  </si>
  <si>
    <t>Valenzuela Gómez Carlos A. (CAVALENZ@collahuasi.cl)</t>
  </si>
  <si>
    <t>Varela Gomez Matias I. ()</t>
  </si>
  <si>
    <t>Veloso Salazar Rene A. (RAVELOSO.ESED@collahuasi.cl)</t>
  </si>
  <si>
    <t>Everyone ()</t>
  </si>
  <si>
    <t>NT AUTHORITY\authenticated users ()</t>
  </si>
  <si>
    <t>Acuña Venegas Estanislao O. (EOACUNA@collahuasi.cl)</t>
  </si>
  <si>
    <t>Ardiles Alfaro Arturo A. (AAARDILE@collahuasi.cl)</t>
  </si>
  <si>
    <t>Bolvaran Morales Cristian A. (CABOLVARAN@collahuasi.cl)</t>
  </si>
  <si>
    <t>Bugueño Aguirre Carlos A. (CABUGUEN@collahuasi.cl)</t>
  </si>
  <si>
    <t>Cabezas Villablanca Juan C (jccabezas@collahuasi.cl)</t>
  </si>
  <si>
    <t>Coluccio Fumey Salvador E. (SECOLUCC@collahuasi.cl)</t>
  </si>
  <si>
    <t>Cortes Baygorria Hector A. (hacortes.esed@collahuasi.cl)</t>
  </si>
  <si>
    <t>Dragicevic Pizarro Dalibor (DDRAGIC@collahuasi.cl)</t>
  </si>
  <si>
    <t>Espinoza Robles Juan F. (JFESPINO@collahuasi.cl)</t>
  </si>
  <si>
    <t>Figueroa Vargas Mario E. (MEFIGUER@collahuasi.cl)</t>
  </si>
  <si>
    <t>Flores Meléndez Maria P. (MPFLORES@collahuasi.cl)</t>
  </si>
  <si>
    <t>Fuentes Urquiza Rodrigo A. (RAFUENTE@collahuasi.cl)</t>
  </si>
  <si>
    <t>Garrido Quintana Cesar A. (CAGARRID@collahuasi.cl)</t>
  </si>
  <si>
    <t>Gomez Hidalgo Juan A. (JAGOMEZH.ESED@collahuasi.cl)</t>
  </si>
  <si>
    <t>Gonzalez Barraza Sergio A. (SGONZALB@collahuasi.cl)</t>
  </si>
  <si>
    <t>Guerrero Maluenda Marcos A. (MAGUERRE@collahuasi.cl)</t>
  </si>
  <si>
    <t>Gutierrez Cabezas Juan L. (JLGUTIER@collahuasi.cl)</t>
  </si>
  <si>
    <t>Gutierrez Perez Fernanda N. (FNGUTIER@collahuasi.cl)</t>
  </si>
  <si>
    <t>Hurtado Olcay Marcelo S (MSHURTADO@collahuasi.cl)</t>
  </si>
  <si>
    <t>Jara Riffo Carlos C. (CCJARA@collahuasi.cl)</t>
  </si>
  <si>
    <t>Lay P. Jose H. (JHLAY@collahuasi.cl)</t>
  </si>
  <si>
    <t>Lopez Colque Hugo H (hhlopez@collahuasi.cl)</t>
  </si>
  <si>
    <t>Martinez Bahamondes Julio E. (JEMARTIN@COLLAHUASI.CL)</t>
  </si>
  <si>
    <t>Martinez Contreras Fabian (FMARTIN.ESED@collahuasi.cl)</t>
  </si>
  <si>
    <t>Mendoza Lira Cristian R. (CRMENDOZA@collahuasi.cl)</t>
  </si>
  <si>
    <t>Mora Navarrete Nelson F (NFMORA@collahuasi.cl)</t>
  </si>
  <si>
    <t>Muñoz Contreras Claudio A (camunoz@collahuasi.cl)</t>
  </si>
  <si>
    <t>Muñoz H. Maximiliano A. (MAMUNOZ@collahuasi.cl)</t>
  </si>
  <si>
    <t>Oliva Schwartzmann Cristian R. (CROLIVA@collahuasi.cl)</t>
  </si>
  <si>
    <t>Ortega Araneda Daniel A. (DAORTEGA@collahuasi.cl)</t>
  </si>
  <si>
    <t>Perrin C. Mauricio E. (MEPERRIN@collahuasi.cl)</t>
  </si>
  <si>
    <t>Pizarro Nuñez Lino (lpizarro@collahuasi.cl)</t>
  </si>
  <si>
    <t>Pizarro Rodriguez Arnaldo R. (ARPIZARR@collahuasi.cl)</t>
  </si>
  <si>
    <t>Pizarro Villalobos Hector M. (HPIZARR.ESED@collahuasi.cl)</t>
  </si>
  <si>
    <t>Plaza C. Sergio E. (SEPLAZA@collahuasi.cl)</t>
  </si>
  <si>
    <t>Pulgar Cortes Katherinne A. (KAPULGAR@collahuasi.cl)</t>
  </si>
  <si>
    <t>Ramirez Cuevas Ignacio J. (jiramirez@collahuasi.cl)</t>
  </si>
  <si>
    <t>Ramirez Flores Sergio E. (SERAMIREZF@collahuasi.cl)</t>
  </si>
  <si>
    <t>Ramirez N. Luis S. (LSRAMIRE2@collahuasi.cl)</t>
  </si>
  <si>
    <t>Ramos Chocobar Pablo A. (PRAMOS@collahuasi.cl)</t>
  </si>
  <si>
    <t>Reyes M. Gonzalo N. (GNREYES@collahuasi.cl)</t>
  </si>
  <si>
    <t>Riquelme Catalan Carlos E. (CERIQUEL@collahuasi.cl)</t>
  </si>
  <si>
    <t>Rojas Muñoz Viviana I. (VIROJAS@collahuasi.cl)</t>
  </si>
  <si>
    <t>Saldia A. Nilson A. (nasaldia@collahuasi.cl)</t>
  </si>
  <si>
    <t>Tapia Castillo Renato E. (RETAPIA@collahuasi.cl)</t>
  </si>
  <si>
    <t>Velez Ponce Juan F. (JFVELEZ@collahuasi.cl)</t>
  </si>
  <si>
    <t>Vivanco Vejar Omar A. (OAVIVANC@collahuasi.cl)</t>
  </si>
  <si>
    <t>02 Revision Aprendizajes (caja 6) mantención anterior</t>
  </si>
  <si>
    <t>07 Recepcion actividades Proyectos (Formulario autorizado)</t>
  </si>
  <si>
    <t>08 Recepcion actividades desde WR (Formulario autorizado)</t>
  </si>
  <si>
    <t>11 Generar calendario de Hitos Planificacion Mantenimiento</t>
  </si>
  <si>
    <t>B. REVISION Y VALIDACION ACTIVIDADES PROGRAMADAS</t>
  </si>
  <si>
    <t>C. GESTION DE SEGURIDAD Y SALUD</t>
  </si>
  <si>
    <t>D. GESTION MEDIO AMBIENTE</t>
  </si>
  <si>
    <t>E. DOTACIONES DEL MANTENIMIENTO</t>
  </si>
  <si>
    <t>F. GESTION DE REPUESTOS Y MATERIALES</t>
  </si>
  <si>
    <t>G. SERVICIOS AL PERSONAL</t>
  </si>
  <si>
    <t>H. SERVICIOS DE APOYO Y EQUIPOS</t>
  </si>
  <si>
    <t>01 Revision y confirmacion de actividades programadas - ELECTRICOS</t>
  </si>
  <si>
    <t>02 Revision y confirmacion de actividades programadas - DCS</t>
  </si>
  <si>
    <t>03 Revision y confirmacion de actividades programadas - INSTRUMENTACION</t>
  </si>
  <si>
    <t>04 Revision y confirmacion de actividades programadas - MECANICOS</t>
  </si>
  <si>
    <t>05 Revision y confirmacion de actividades programadas - LUBRICACION</t>
  </si>
  <si>
    <t>06 Revision y confirmacion de actividades programadas - PREDICTIVO / CONFIABILIDAD</t>
  </si>
  <si>
    <t>07 Revision y confirmacion de actividades programadas - METALURGIA</t>
  </si>
  <si>
    <t>08 Revision y confirmacion de actividades programadas - PROYECTOS</t>
  </si>
  <si>
    <t>08 Validación de actividades en Matriz de Riesgo y sus controles / ELECTRICOS</t>
  </si>
  <si>
    <t>09 Validación de actividades en Matriz de Riesgo y sus controles / DCS</t>
  </si>
  <si>
    <t>10 Validación de actividades en Matriz de Riesgo y sus controles / INSTRUMENTACION</t>
  </si>
  <si>
    <t>11 Validación de actividades en Matriz de Riesgo y sus controles / MECANICOS</t>
  </si>
  <si>
    <t>12 Validación de actividades en Matriz de Riesgo y sus controles / LUBRICACION</t>
  </si>
  <si>
    <t>13 Validación de actividades en Matriz de Riesgo y sus controles / METALURGIA</t>
  </si>
  <si>
    <t>14 Validación de actividades en Matriz de Riesgo y sus controles / OPERACIONES</t>
  </si>
  <si>
    <t>01 Solicitud dotaciones adicionales</t>
  </si>
  <si>
    <t>03 Confirmacion de dotaciones solicitadas</t>
  </si>
  <si>
    <t>04 Envio Calendario de turnos y responsables por equipos</t>
  </si>
  <si>
    <t>05 Definición de Responsables del control de trabajos por equipos - MECANICOS</t>
  </si>
  <si>
    <t>06 Definición de Responsables del control de trabajos por equipos - SIAC</t>
  </si>
  <si>
    <t>07 Definición Responsables control trabajos equipos - CONFIABILIDAD/PREDICTIVO</t>
  </si>
  <si>
    <t>08 Definición de Responsables del control de trabajos por equipos - OPERACIONES</t>
  </si>
  <si>
    <t xml:space="preserve">01 Solicitud de repuestos a utilizar - Jefes de area </t>
  </si>
  <si>
    <t>02 Validacion de repuestos (Listado) a utilizar - MECANICOS</t>
  </si>
  <si>
    <t>03 Validacion de repuestos (Listado) a utilizar - INSTRUMENTISTA</t>
  </si>
  <si>
    <t>04 Validacion de repuestos (Listado) a utilizar - ELECTRICOS</t>
  </si>
  <si>
    <t>05 Validacion de repuestos (Listado) a utilizar - LUBRICACION</t>
  </si>
  <si>
    <t>06 Validacion de repuestos (Listado) a utilizar - FUNGIBLES</t>
  </si>
  <si>
    <t>07 Solicitud de compra repuestos según carta gantt</t>
  </si>
  <si>
    <t>09 Generar PRQ por repuestos cargo directos</t>
  </si>
  <si>
    <t>08 Generar RQ por repuestos con codigo Stock</t>
  </si>
  <si>
    <t>10 Generar compras de Fungibles e insumos</t>
  </si>
  <si>
    <t>11 Envio Listado de repuestos a bodega con requisiciones (PRQ - RQ)</t>
  </si>
  <si>
    <t>12 Confirmacion Listado Repuestos desde bodega</t>
  </si>
  <si>
    <t>13 Informe semanal de Status de compra y llegada de repuestos e insumos</t>
  </si>
  <si>
    <t>14 Reunion N°1 con Abastecimiento</t>
  </si>
  <si>
    <t>15 Reunion N°2 con Abastecimiento</t>
  </si>
  <si>
    <t>16 Gestion de reparacion y /o preparacion de componentes (GSO-Externo)</t>
  </si>
  <si>
    <t xml:space="preserve">17 Definir y enviar Layout de ubicación de repuestos en planta </t>
  </si>
  <si>
    <t>18 Plan de traslado y entrega de repuestos a Mantenedores</t>
  </si>
  <si>
    <t>19a Recepcion y revisión de repuestos (validados tecnicamente) - MECANICOS</t>
  </si>
  <si>
    <t>19b Recepcion y revisión de repuestos (validados tecnicamente) - INSTRUMENTISTA</t>
  </si>
  <si>
    <t>19c Recepcion y revisión de repuestos (validados tecnicamente) - ELECTRICOS</t>
  </si>
  <si>
    <t>19d Recepcion y revisión de repuestos (validados tecnicamente) - LUBRICACION</t>
  </si>
  <si>
    <t>20 Confirmación de ubicación de repuestos en planta según Layout</t>
  </si>
  <si>
    <t>21 Listado de repuestos y componentes a prueba</t>
  </si>
  <si>
    <t>22 Informe de Costos de Repuestos Mantencion</t>
  </si>
  <si>
    <t>02 Consolidar y enviar solicitud  comida a servicio a las personas CMDIC</t>
  </si>
  <si>
    <t>01 ReunionN°1(Serv Personal) Solicitud inicial, revision requerimientos, comida y otros</t>
  </si>
  <si>
    <t>03 Confirmacion de solicitud por parte servicio a las personas CMDIC</t>
  </si>
  <si>
    <t>04 Envio solicitudes y requerimientos adicionales (Colaciones, Servicio Cafeteria, etc.)</t>
  </si>
  <si>
    <t>05 Envio Flujos de personas a casino</t>
  </si>
  <si>
    <t>01 Solicitud requerimientos operaciones (Limpieza, correas, Interferencias, energias)</t>
  </si>
  <si>
    <t>02 Solicitud equipos apoyo mantencion (Gruas, Horquillas, camiones, generadores, etc)</t>
  </si>
  <si>
    <t>03 Solicitud de andamios para ejecución del Mantenimiento</t>
  </si>
  <si>
    <t>04 Solicitud apoyo area Predictivo / Confiabilidad</t>
  </si>
  <si>
    <t>05 Solicitud apoyo personal Mecanicos correas CMDIC</t>
  </si>
  <si>
    <t>06 Revision y mantención Puentes Gruas</t>
  </si>
  <si>
    <t>07 Revision y mantención Ascensores</t>
  </si>
  <si>
    <t>08 Revision Iluminacion edificio en los puntos de mantencion</t>
  </si>
  <si>
    <t>09 Verificar instalación de Andamios previo al mantenimiento</t>
  </si>
  <si>
    <t>10 Verificar de limpiezas solicitadas previo al mantenimiento</t>
  </si>
  <si>
    <t>​01 Induccion tecnica del trabajo (induccion tecnica) - MECANICOS</t>
  </si>
  <si>
    <t>​03 Induccion tecnica del trabajo (induccion tecnica) - LUBRICACION</t>
  </si>
  <si>
    <t>09 Habilitar al personal para ingreso y trabajos en Faena Puerto</t>
  </si>
  <si>
    <t>03 Generar comité de puesta en marcha Filtro</t>
  </si>
  <si>
    <t>04 Reunion diaria avances mantencion</t>
  </si>
  <si>
    <t>05 Envio reporte de avances de Mantención</t>
  </si>
  <si>
    <t>06 Reporte diario QA/QC</t>
  </si>
  <si>
    <t>07 Validacion de Formularios Postergacion Actividades Mant</t>
  </si>
  <si>
    <t>08 HouseKeeping final del mantenimiento</t>
  </si>
  <si>
    <t>09 Entrega protocolos de QA/QC de equipos en control</t>
  </si>
  <si>
    <t>02 Resumen Aprendizajes (caja 6) CMDIC - ESED</t>
  </si>
  <si>
    <t>08 Resumen Incidentes levantados durante el Mantenimiento</t>
  </si>
  <si>
    <t>09 Reunion Post Mantención</t>
  </si>
  <si>
    <t>10 Gestion de devolucion Repuestos</t>
  </si>
  <si>
    <t>11 Informe costos mantencion</t>
  </si>
  <si>
    <t>12 Envio Informe de Mantencion cerrada</t>
  </si>
  <si>
    <t>02 Solicitud de contenedor de residuos y layout de ubicación en Planta</t>
  </si>
  <si>
    <t>03 Instalación contenedores residuos según Layout</t>
  </si>
  <si>
    <t>04 Plan de retiro de contenedores residuos</t>
  </si>
  <si>
    <t>1</t>
  </si>
  <si>
    <t>2</t>
  </si>
  <si>
    <t>3</t>
  </si>
  <si>
    <t>4</t>
  </si>
  <si>
    <t>5</t>
  </si>
  <si>
    <t>6</t>
  </si>
  <si>
    <t>7</t>
  </si>
  <si>
    <t>8</t>
  </si>
  <si>
    <t>9</t>
  </si>
  <si>
    <t xml:space="preserve">06 Envio Plan de bloqueo </t>
  </si>
  <si>
    <t>07 Reunion de Bloqueo</t>
  </si>
  <si>
    <t>05 Revision, actualización de diagramas de bloqueo</t>
  </si>
  <si>
    <t>FREC</t>
  </si>
  <si>
    <t>DURACIÓN</t>
  </si>
  <si>
    <t>01 Plan Gestion de Residuos mantención</t>
  </si>
  <si>
    <t>Real</t>
  </si>
  <si>
    <t>Esperado a la fecha</t>
  </si>
  <si>
    <t>n</t>
  </si>
  <si>
    <t>Area:</t>
  </si>
  <si>
    <t>Revisado por:</t>
  </si>
  <si>
    <t>Jefe de Área</t>
  </si>
  <si>
    <t>Equipo</t>
  </si>
  <si>
    <t>Fecha de Hoy</t>
  </si>
  <si>
    <t>Cumplimiento del Area</t>
  </si>
  <si>
    <t>Pond</t>
  </si>
  <si>
    <t>Frec</t>
  </si>
  <si>
    <t>DeadLine</t>
  </si>
  <si>
    <t>Avance</t>
  </si>
  <si>
    <t>Avance Ponderado</t>
  </si>
  <si>
    <t>Observaciones</t>
  </si>
  <si>
    <t>Evidencia</t>
  </si>
  <si>
    <t>Esperado</t>
  </si>
  <si>
    <t>Cant. Req.</t>
  </si>
  <si>
    <t>Stock Bodega</t>
  </si>
  <si>
    <t>RQ:</t>
  </si>
  <si>
    <t>1.0.1</t>
  </si>
  <si>
    <t>1.0.2</t>
  </si>
  <si>
    <t>1.0.3</t>
  </si>
  <si>
    <t>1.0.4</t>
  </si>
  <si>
    <t>1.0.5</t>
  </si>
  <si>
    <t>1.0.6</t>
  </si>
  <si>
    <t>1.0.7</t>
  </si>
  <si>
    <t>1.0.8</t>
  </si>
  <si>
    <t>1.0.9</t>
  </si>
  <si>
    <t>1.0.10</t>
  </si>
  <si>
    <t>1.0.11</t>
  </si>
  <si>
    <t>APLICA</t>
  </si>
  <si>
    <t>Opción</t>
  </si>
  <si>
    <t>CODIGO</t>
  </si>
  <si>
    <t>EQUIPOS</t>
  </si>
  <si>
    <t>MATERIAL</t>
  </si>
  <si>
    <t>W40</t>
  </si>
  <si>
    <t>DEAD LINE</t>
  </si>
  <si>
    <t>OBSERVACIONES</t>
  </si>
  <si>
    <t>EVIDENCIA</t>
  </si>
  <si>
    <t>CANTIDAD</t>
  </si>
  <si>
    <t>SECCION</t>
  </si>
  <si>
    <t>HERRAMIENTAS</t>
  </si>
  <si>
    <t>LUBRICANTE</t>
  </si>
  <si>
    <t>EPP</t>
  </si>
  <si>
    <t>INSTRUMENTO Y EQUIPO</t>
  </si>
  <si>
    <t>MATERIALES GENERALES</t>
  </si>
  <si>
    <t>Filtrado y Embarque</t>
  </si>
  <si>
    <t>GUANTE CABRETILLA</t>
  </si>
  <si>
    <t>LENTES DE SEGURIDAD</t>
  </si>
  <si>
    <t>BUZO TREX</t>
  </si>
  <si>
    <t>GUANTE DE LATEX</t>
  </si>
  <si>
    <t>FILTRO MIXTO</t>
  </si>
  <si>
    <t>MASCARA DE SOLDADOR</t>
  </si>
  <si>
    <t>CARETA FASIAL</t>
  </si>
  <si>
    <t>TRAJE DE SOLDADOR COMPLETO</t>
  </si>
  <si>
    <t>VIDRIO BLANCO SOLDADOR</t>
  </si>
  <si>
    <t>CUERDA DE VIDA 10 MTS MINIMO</t>
  </si>
  <si>
    <t>MANTAS IGNIFUGAS</t>
  </si>
  <si>
    <t>NIQUEL (Antiseize)</t>
  </si>
  <si>
    <t>CAMIÓN GRUA ARTICULADA</t>
  </si>
  <si>
    <t>EQUIPO DE OXICORTE</t>
  </si>
  <si>
    <t xml:space="preserve">ESMERIL ANGULAR 7" </t>
  </si>
  <si>
    <t>ESMERIL ANGULAR 4 1/2"</t>
  </si>
  <si>
    <t>EXTENSIÓN ELÉCTRICA 220V (15mts c/u)</t>
  </si>
  <si>
    <t>HALOGENOS 500W</t>
  </si>
  <si>
    <t>MAQUINA DE SOLDAR 220V</t>
  </si>
  <si>
    <t>BOMBA MANUAL (para llenado de aceite)</t>
  </si>
  <si>
    <t>TECLE PALANCA 1 1/2 Ton</t>
  </si>
  <si>
    <t>TECLE CADENA 1 1/2 Ton</t>
  </si>
  <si>
    <t>EXTINTORES</t>
  </si>
  <si>
    <t>PLATAFORMA DE TRABAJO( cuerpos de andamios)</t>
  </si>
  <si>
    <t>GAS</t>
  </si>
  <si>
    <t>ACITILENO</t>
  </si>
  <si>
    <t>OXIGENO</t>
  </si>
  <si>
    <t>1.1.1</t>
  </si>
  <si>
    <t>REPUESTOS MECÁNICOS</t>
  </si>
  <si>
    <t>Fortaleza</t>
  </si>
  <si>
    <t>Oportunidad</t>
  </si>
  <si>
    <t>Debilidad</t>
  </si>
  <si>
    <t>Amenaza</t>
  </si>
  <si>
    <t>ITEM</t>
  </si>
  <si>
    <t>FECHA</t>
  </si>
  <si>
    <t>CLASIFICACIÓN</t>
  </si>
  <si>
    <t>GENERADO
POR</t>
  </si>
  <si>
    <t>DESCRIPCIÓN</t>
  </si>
  <si>
    <t>ESPECIALIDAD</t>
  </si>
  <si>
    <t>PLANES DE ACCIÓN</t>
  </si>
  <si>
    <t>PRIORIDAD</t>
  </si>
  <si>
    <t>RESPONSABLE</t>
  </si>
  <si>
    <t>AVANCE</t>
  </si>
  <si>
    <t>FECHA 
IMPLEMENTACIÓN</t>
  </si>
  <si>
    <t>Alta</t>
  </si>
  <si>
    <t>Media</t>
  </si>
  <si>
    <t>1.1.2</t>
  </si>
  <si>
    <t>1.1.3</t>
  </si>
  <si>
    <t>1.1.4</t>
  </si>
  <si>
    <t>1.1.5</t>
  </si>
  <si>
    <t>1.1.6</t>
  </si>
  <si>
    <t>1.1.7</t>
  </si>
  <si>
    <t>1.1.8</t>
  </si>
  <si>
    <t>1.1.9</t>
  </si>
  <si>
    <t>1.1.10</t>
  </si>
  <si>
    <t>1.1.11</t>
  </si>
  <si>
    <t>1.1.12</t>
  </si>
  <si>
    <t>1.1.13</t>
  </si>
  <si>
    <t>1.1.14</t>
  </si>
  <si>
    <t>1.1.15</t>
  </si>
  <si>
    <t>1.1.16</t>
  </si>
  <si>
    <t>1.1.17</t>
  </si>
  <si>
    <t>1.1.18</t>
  </si>
  <si>
    <t>1.1.19</t>
  </si>
  <si>
    <t>1.1.20</t>
  </si>
  <si>
    <t>1.1.21</t>
  </si>
  <si>
    <t>1.1.22</t>
  </si>
  <si>
    <t>1.1.23</t>
  </si>
  <si>
    <t>1.1.24</t>
  </si>
  <si>
    <t>1.1.25</t>
  </si>
  <si>
    <t>1.1.26</t>
  </si>
  <si>
    <t>1.1.27</t>
  </si>
  <si>
    <t>2.0.1</t>
  </si>
  <si>
    <t>FILTRO DE VENTILACION</t>
  </si>
  <si>
    <t>TUBING PLASTICO 1/2</t>
  </si>
  <si>
    <t>TUBING PLASTICO 3/8</t>
  </si>
  <si>
    <t>REAL</t>
  </si>
  <si>
    <t>Planificado</t>
  </si>
  <si>
    <t>SUMA</t>
  </si>
  <si>
    <t>CARTA TIPO</t>
  </si>
  <si>
    <t>SD</t>
  </si>
  <si>
    <t>N</t>
  </si>
  <si>
    <t>Lizama Donoso Andrés A. (AALIZAMA@collahuasi.cl);Melo Miranda Fernando A. (FMELO@collahuasi.cl);Meriño Martinez Máximo E. (MEMERINO@collahuasi.cl)</t>
  </si>
  <si>
    <t>Juan Marisio</t>
  </si>
  <si>
    <t>DEADLINE</t>
  </si>
  <si>
    <t>EQUIPAR A PERSONAL DE APOYO</t>
  </si>
  <si>
    <t>DESCRIPCION</t>
  </si>
  <si>
    <t>JUEGO CONTACTO CONTACTOR SIZE 4</t>
  </si>
  <si>
    <t>REPUESTOS HIDRAULICOS</t>
  </si>
  <si>
    <t>REPUESTOS ELECTRICOS</t>
  </si>
  <si>
    <t>GRATA DE COPA ESMERIL 7"</t>
  </si>
  <si>
    <t>SENSOR VELOCIDAD CERO 24 VDC 50 M A</t>
  </si>
  <si>
    <t>CELDA CARGA R.L. 200KN</t>
  </si>
  <si>
    <t>BASTON INTERRUPTOR DESALINEAMIENTO</t>
  </si>
  <si>
    <t>2.0.12</t>
  </si>
  <si>
    <t>2.0.13</t>
  </si>
  <si>
    <t>2.0.14</t>
  </si>
  <si>
    <t>2.0.15</t>
  </si>
  <si>
    <t>2.0.16</t>
  </si>
  <si>
    <t>2.0.25</t>
  </si>
  <si>
    <t xml:space="preserve">REPUESTOS </t>
  </si>
  <si>
    <t>310FL003</t>
  </si>
  <si>
    <t>Armando Pizarro/ Pedro Perez</t>
  </si>
  <si>
    <t>EXISTENCIA</t>
  </si>
  <si>
    <t>LLAVE DE TORQUE CUADRANTE 3/4</t>
  </si>
  <si>
    <t>BARRETILLA</t>
  </si>
  <si>
    <t>ESLINGA DE 1 MTS</t>
  </si>
  <si>
    <t>ESLINGA DE 2 MTS</t>
  </si>
  <si>
    <t>ESLINGA DE 3 MTS</t>
  </si>
  <si>
    <t>ESLINGA DE 4 MTS</t>
  </si>
  <si>
    <t>BARRETILLA CON MANGO</t>
  </si>
  <si>
    <t>HERR.</t>
  </si>
  <si>
    <t>No se usa el torqueo de pernos en seco</t>
  </si>
  <si>
    <t>SEGUIMIENTO STOCKCODE</t>
  </si>
  <si>
    <t>FAENA :</t>
  </si>
  <si>
    <t>EQUIPO APL :</t>
  </si>
  <si>
    <t>AVIABLE</t>
  </si>
  <si>
    <t>EN TRANSITO</t>
  </si>
  <si>
    <t>POR ENTREGA</t>
  </si>
  <si>
    <t>UBICACION</t>
  </si>
  <si>
    <t>CLASIFICACION</t>
  </si>
  <si>
    <t>PUERTO CMDIC GMT1401A</t>
  </si>
  <si>
    <t>STOCKCODE</t>
  </si>
  <si>
    <t>QTY</t>
  </si>
  <si>
    <t>SOH</t>
  </si>
  <si>
    <t>IN TRANSIT</t>
  </si>
  <si>
    <t>DUES IN</t>
  </si>
  <si>
    <t>DUES OUT</t>
  </si>
  <si>
    <t>BODEGA</t>
  </si>
  <si>
    <t>ROP</t>
  </si>
  <si>
    <t>ROQ</t>
  </si>
  <si>
    <t>CLASS</t>
  </si>
  <si>
    <t>TYPE</t>
  </si>
  <si>
    <t>NOMBRE</t>
  </si>
  <si>
    <t>BPTO</t>
  </si>
  <si>
    <t>0 CU</t>
  </si>
  <si>
    <t>B</t>
  </si>
  <si>
    <t>INES</t>
  </si>
  <si>
    <t>INICIO DEL MANTENIMIENTO</t>
  </si>
  <si>
    <t>ACEITE W32 (Tamb)</t>
  </si>
  <si>
    <t>SALDO STOCK</t>
  </si>
  <si>
    <t>MATRIZ DE REPUESTOS Y INSUMES MECÁNICOS</t>
  </si>
  <si>
    <t>MATRIZ DE REPUESTOS Y INSUMES HIDRAULICOS Y ELECTRICOS</t>
  </si>
  <si>
    <t>BASTON</t>
  </si>
  <si>
    <t>POLIN</t>
  </si>
  <si>
    <t>POLIN AUTOCENTRANTE DE CARGA (TRU-TRAINE</t>
  </si>
  <si>
    <t>RODILLO</t>
  </si>
  <si>
    <t>RODILLO LATERAL CONICO DE CARGA 
CORREA36"</t>
  </si>
  <si>
    <t>RODILLO CENTRAL METALICO DE CARGA
CORREA36"</t>
  </si>
  <si>
    <t>ESTACION</t>
  </si>
  <si>
    <t>ESTACION AUTO-CENTRANTE DE RETORNO PLANOCORREA 36"</t>
  </si>
  <si>
    <t>ESTAC POLIN GUIA CARGA 36X6" 35GRD C6</t>
  </si>
  <si>
    <t>BASTON CENTRADOR POLIMERO</t>
  </si>
  <si>
    <t>16 CU</t>
  </si>
  <si>
    <t>PLANCHA</t>
  </si>
  <si>
    <t>PLANCHA TIVAR88 13MMX800MMX2000XMM</t>
  </si>
  <si>
    <t>GUARDERA GOMA 15MMX150MMX10MTS 50 SHOREA</t>
  </si>
  <si>
    <t>GUARDERA</t>
  </si>
  <si>
    <t>ESTAC POLIN  RETORNO 6X36" CEMA C6</t>
  </si>
  <si>
    <t>8 CU</t>
  </si>
  <si>
    <t>18 CU</t>
  </si>
  <si>
    <t>POLIN METALICO DE CARGA 6"</t>
  </si>
  <si>
    <t>POLIN CARGA POLIETILENO UHMW</t>
  </si>
  <si>
    <t>POLIN RETORNO 6"X 44-1/2" 17</t>
  </si>
  <si>
    <t>26 CU</t>
  </si>
  <si>
    <t>RODILLO DE IMPACTO</t>
  </si>
  <si>
    <t>1.0.12</t>
  </si>
  <si>
    <t>1.0.13</t>
  </si>
  <si>
    <t>6 CU</t>
  </si>
  <si>
    <t>2 CU</t>
  </si>
  <si>
    <t>FILTROS PUERTO</t>
  </si>
  <si>
    <t>LINEA AIRE MEMBRANA</t>
  </si>
  <si>
    <t>CAÑERIA CON BRIDAS (CABEZAL FIJO)</t>
  </si>
  <si>
    <t>CAÑERIA CON BRIDAS (CUELLO CISNE)</t>
  </si>
  <si>
    <t>CAÑERIA CON BRIDAS (FLAUTA)</t>
  </si>
  <si>
    <t>VALVULA RETENCION (NO REPARABLE J. T.)</t>
  </si>
  <si>
    <t>VALVULA CHECK</t>
  </si>
  <si>
    <t>JUNTA EXPANSION 2" ANSI 150 LBS</t>
  </si>
  <si>
    <t>VALVULA V7 / V10/070-120 DN50/PN V10</t>
  </si>
  <si>
    <t>CAÑERIA CON BRIDAS</t>
  </si>
  <si>
    <t>VALVULA REGULADORA DE PRESION</t>
  </si>
  <si>
    <t>VALVULA DN 50/PN10 (VV manual)</t>
  </si>
  <si>
    <t>CAÑERIA BRIDAS</t>
  </si>
  <si>
    <t>LINEA SOPLADO SUPERIOR</t>
  </si>
  <si>
    <t>MANOMETRO; MANOMETRO 2-1/2"DIAL 0-200 PSI 1/4" NPT</t>
  </si>
  <si>
    <t>DUCTO AIRE (2" cabezal movil)</t>
  </si>
  <si>
    <r>
      <t>ACOPLAMIENTO TUBO 2</t>
    </r>
    <r>
      <rPr>
        <b/>
        <sz val="12"/>
        <rFont val="Calibri"/>
        <family val="2"/>
        <scheme val="minor"/>
      </rPr>
      <t>"</t>
    </r>
  </si>
  <si>
    <t>ACOPLAMIENTO DE CAÑERIA RACOR DN50 (punta milano 2")</t>
  </si>
  <si>
    <t>ABRAZADERA  SIN FIN 3"</t>
  </si>
  <si>
    <t>MANGUERA (SOPLADO 2")</t>
  </si>
  <si>
    <t>CAÑERIA CÓNICO.</t>
  </si>
  <si>
    <t>DUCTO BRIDAS 6"</t>
  </si>
  <si>
    <t>FORRO DEGASTE FILTRO 6"</t>
  </si>
  <si>
    <t>CABLE; CABLE ACERO PLASTIFICADO 3/16" (mts)</t>
  </si>
  <si>
    <t>ACCIONAMIENTO COMPUERTA</t>
  </si>
  <si>
    <t>1.2.1</t>
  </si>
  <si>
    <t>EJE LADO AUXILIAR COMPUERTA FILTRO CORTO</t>
  </si>
  <si>
    <t>1.2.2</t>
  </si>
  <si>
    <t>EJE HEXAGONAL LADO ACCIONAMIENTO</t>
  </si>
  <si>
    <t>1.2.3</t>
  </si>
  <si>
    <t>SOPORTE RODAMIENTO</t>
  </si>
  <si>
    <t>1.2.4</t>
  </si>
  <si>
    <t>RODAMIENTO BOLAS</t>
  </si>
  <si>
    <t>1.2.5</t>
  </si>
  <si>
    <t>MANGUITO FIJACION - CASQUILLO RODAMIENTO COMPUERTA FILTRO</t>
  </si>
  <si>
    <t>1.2.6</t>
  </si>
  <si>
    <t>ANILLO GUIA  FRB 125/200</t>
  </si>
  <si>
    <t>1.2.7</t>
  </si>
  <si>
    <t>CASQUILLO ETP-100/125 - MANGUITO COMPUERTA FILTRO</t>
  </si>
  <si>
    <t>1.2.8</t>
  </si>
  <si>
    <t>PALANCA MOVIMIENTO COMPUERTA FILTRO</t>
  </si>
  <si>
    <t>1.2.9</t>
  </si>
  <si>
    <t>SHAFT PASADOR COMPUERTA ITEM 09 PLANO SA249981</t>
  </si>
  <si>
    <t>1.2.10</t>
  </si>
  <si>
    <t>CILINDRO HIDRAULICO COMPUERTAS FILTROS</t>
  </si>
  <si>
    <t>1.2.11</t>
  </si>
  <si>
    <t>SOPORTE EJE INFERIOR CILINDRO HIDRAULICO</t>
  </si>
  <si>
    <t>1.2.12</t>
  </si>
  <si>
    <t>1.2.13</t>
  </si>
  <si>
    <t>ROTULA ACERO SKF PARA CILINDRO COMPUERTA</t>
  </si>
  <si>
    <t>1.2.14</t>
  </si>
  <si>
    <t>TAPA EJE COMPUERTA FILTROS</t>
  </si>
  <si>
    <t>1.2.15</t>
  </si>
  <si>
    <t>SHAFT PASADOR COMPUERTA ITEM 08 PLANO SA249981</t>
  </si>
  <si>
    <t>1.2.16</t>
  </si>
  <si>
    <t>ANILLO  V 100S</t>
  </si>
  <si>
    <t>1.2.17</t>
  </si>
  <si>
    <t>BURLETE; BURLETE SELLO LATERAL M1</t>
  </si>
  <si>
    <t>1.2.18</t>
  </si>
  <si>
    <t>BURLETE; BURLETE SELLO LATERAL M2</t>
  </si>
  <si>
    <t>ALIMENTACION</t>
  </si>
  <si>
    <t>1.3.1</t>
  </si>
  <si>
    <t>FORRO DEGASTE ALIMENTACION FILTRO 6"</t>
  </si>
  <si>
    <t>1.3.2</t>
  </si>
  <si>
    <t>JUNTA EXPANSION ERFLEX 6" (ANCHA)</t>
  </si>
  <si>
    <t>1.3.3</t>
  </si>
  <si>
    <t>CAÑERIA CON BRIDAS (CARRETILLA)</t>
  </si>
  <si>
    <t>1.3.4</t>
  </si>
  <si>
    <t>1.3.5</t>
  </si>
  <si>
    <t>VALVULA CUCHILLO  KGD10" (NUEVA)</t>
  </si>
  <si>
    <t>1.3.6</t>
  </si>
  <si>
    <t>VALVULA CUCHILLO 10" (REPARADA)</t>
  </si>
  <si>
    <t>NO SE UTILIZA</t>
  </si>
  <si>
    <t>1.3.7</t>
  </si>
  <si>
    <t>MANGA GOMA NATURA Kgd10 (ELASTOMERO)</t>
  </si>
  <si>
    <t>1.3.8</t>
  </si>
  <si>
    <t>DUCTO ALIMENTACION FL1-2-3.</t>
  </si>
  <si>
    <t>1.3.9</t>
  </si>
  <si>
    <t>DUCTO ALIMENTACION FL004</t>
  </si>
  <si>
    <t>1.3.10</t>
  </si>
  <si>
    <t>DUCTO ALIMENTACION Fl005</t>
  </si>
  <si>
    <t>SALIDA AGUA FILTRADA 4"</t>
  </si>
  <si>
    <t>1.4.1</t>
  </si>
  <si>
    <t>CAÑERIA DE SALIDA DE FILTRADO</t>
  </si>
  <si>
    <t>1.4.2</t>
  </si>
  <si>
    <t>1.4.3</t>
  </si>
  <si>
    <t>1.4.4</t>
  </si>
  <si>
    <t>SALIDA AGUA FILTRADA 6"</t>
  </si>
  <si>
    <t>1.5.1</t>
  </si>
  <si>
    <t>1.5.2</t>
  </si>
  <si>
    <t>1.5.3</t>
  </si>
  <si>
    <t>1.5.4</t>
  </si>
  <si>
    <t>MANGUERA GOMA 1450 mm</t>
  </si>
  <si>
    <t>1.5.5</t>
  </si>
  <si>
    <t>ACOPLAMIENTO MANGUERA TRELLEX 11190   (VULCOLEX 6")</t>
  </si>
  <si>
    <t>1.5.6</t>
  </si>
  <si>
    <t>CONO SELLO VULCOLEX (6")</t>
  </si>
  <si>
    <t>1.5.7</t>
  </si>
  <si>
    <t>JUNTA EXPANSION DN 150 (DELGADA)</t>
  </si>
  <si>
    <t>1.5.8</t>
  </si>
  <si>
    <t>VÁLVULA DN150/PN16 RS-150/090-100     (6") CON ACTUADOR</t>
  </si>
  <si>
    <t>AIRE DE SECADO 6"</t>
  </si>
  <si>
    <t>1.6.1</t>
  </si>
  <si>
    <t>VALVULA MARIPOSA MANUAL DN150</t>
  </si>
  <si>
    <t>NO SE CAMBIA, PLANTA DETENIDA</t>
  </si>
  <si>
    <t>1.6.2</t>
  </si>
  <si>
    <t>CAÑERIA CONICO</t>
  </si>
  <si>
    <t>NO SE OCUPA DEBE DETENER TODA LA PLANTA PARA CAMBIO</t>
  </si>
  <si>
    <t>1.6.3</t>
  </si>
  <si>
    <t>CAÑERIA ENTRADA AIRE</t>
  </si>
  <si>
    <t>1.6.4</t>
  </si>
  <si>
    <t>1.6.5</t>
  </si>
  <si>
    <t>CAÑERIA DE ENTRADA DE AIRE</t>
  </si>
  <si>
    <t>1.6.6</t>
  </si>
  <si>
    <t>1.6.7</t>
  </si>
  <si>
    <t>MANIFOLD AGUA LAVADO TELAS</t>
  </si>
  <si>
    <t>1.7.1</t>
  </si>
  <si>
    <t>VALVULA DN200/PN16 (V9)</t>
  </si>
  <si>
    <t>1.7.2</t>
  </si>
  <si>
    <t>VALVULA MARIPOSA MANUAL DN200 8"</t>
  </si>
  <si>
    <t>1.7.3</t>
  </si>
  <si>
    <t>MANGUERA DN20/PN10 LAVADO TELA</t>
  </si>
  <si>
    <t>1.7.4</t>
  </si>
  <si>
    <t>HOSE CLAMP (abrasadera de alta presión de 1")</t>
  </si>
  <si>
    <t>1.7.5</t>
  </si>
  <si>
    <t>CAÑERIA LAVADO TELA FILTRO (PORTA TELA)</t>
  </si>
  <si>
    <t>PLACAS TELAS</t>
  </si>
  <si>
    <t>1.8.1</t>
  </si>
  <si>
    <t>PLACA FILTRANTE REPARADA</t>
  </si>
  <si>
    <t>1.8.2</t>
  </si>
  <si>
    <t>PLACA MEMBRANA REPARADA</t>
  </si>
  <si>
    <t>1.8.3</t>
  </si>
  <si>
    <t>PLACA FILTRANTE ENSAMBLADA (COMPLETA NUEVA)</t>
  </si>
  <si>
    <t>1.8.4</t>
  </si>
  <si>
    <t>PLACA MEMBRANA ENSAMBLADA (COMPLETA NUEVA)</t>
  </si>
  <si>
    <t>1.8.5</t>
  </si>
  <si>
    <t>PLACA  FILTRO CABEZAL PRENSA FIJO</t>
  </si>
  <si>
    <t>1.8.6</t>
  </si>
  <si>
    <t>PLACA  FILTRO CABEZAL  PRENSA MOVIL</t>
  </si>
  <si>
    <t>1.8.7</t>
  </si>
  <si>
    <t>CUELLO; CUELLO TELAS FILTROS PRENSA;</t>
  </si>
  <si>
    <t>1.8.8</t>
  </si>
  <si>
    <t>TELAS FILTRANTES</t>
  </si>
  <si>
    <t>1.8.9</t>
  </si>
  <si>
    <t>AMARRAS PLASTICAS</t>
  </si>
  <si>
    <t>CABEZAL FIJO, MOVIL Y RUEDAS</t>
  </si>
  <si>
    <t>1.9.1</t>
  </si>
  <si>
    <t>RUEDA CABEZAL REMOVIBLE</t>
  </si>
  <si>
    <t>1.9.2</t>
  </si>
  <si>
    <t>1.9.3</t>
  </si>
  <si>
    <t>PROTECCION HORQUILLA CABEZAL</t>
  </si>
  <si>
    <t>1.9.4</t>
  </si>
  <si>
    <t>ANILLO SEGURO 45MMX1.75MM (SEEGER)</t>
  </si>
  <si>
    <t>1.9.5</t>
  </si>
  <si>
    <t>SOPORTE HORQUILLA</t>
  </si>
  <si>
    <t>1.9.6</t>
  </si>
  <si>
    <t xml:space="preserve">AMORTIGUADOR NOVIBRA SAW 300B  </t>
  </si>
  <si>
    <t>1.9.7</t>
  </si>
  <si>
    <t>TENSOR TORNILLO</t>
  </si>
  <si>
    <t>1.9.8</t>
  </si>
  <si>
    <t>FUELLE PROTECTOR CILINDRO HIDRAULICO</t>
  </si>
  <si>
    <t>1.9.9</t>
  </si>
  <si>
    <t>SOPORTE; SOPORTE ESLABON PLACA</t>
  </si>
  <si>
    <t>1.9.10</t>
  </si>
  <si>
    <t>ARANDELA ISO 7090-21-200HV/BRFB (M20 de bastidor)</t>
  </si>
  <si>
    <t>1.9.11</t>
  </si>
  <si>
    <t>OREJETA  ESLABON</t>
  </si>
  <si>
    <t>1.9.13</t>
  </si>
  <si>
    <t xml:space="preserve"> BUJE UNION HORQUILLA Y SOPORTE</t>
  </si>
  <si>
    <t>1.9.14</t>
  </si>
  <si>
    <t>EJE PASADOR</t>
  </si>
  <si>
    <t>SOLO CAMBIO CILINDRO</t>
  </si>
  <si>
    <t>1.9.15</t>
  </si>
  <si>
    <t>MANGUITO ROTULA</t>
  </si>
  <si>
    <t>1.9.16</t>
  </si>
  <si>
    <t>CILINDRO HIDRAULICO</t>
  </si>
  <si>
    <t>1.9.17</t>
  </si>
  <si>
    <t>SOPORTE APOYO CILINDRO</t>
  </si>
  <si>
    <t>1.9.18</t>
  </si>
  <si>
    <t>CONSOLA SOPORTE CILINDRO</t>
  </si>
  <si>
    <t>1.9.19</t>
  </si>
  <si>
    <t>ESLABON</t>
  </si>
  <si>
    <t>VIBRADOR ABSORVER</t>
  </si>
  <si>
    <t>1.9.20</t>
  </si>
  <si>
    <t>VIBRADOR; MOTOR VIBRADOR 475W 1500RPM 50/3HZ 230V.</t>
  </si>
  <si>
    <t>1.9.21</t>
  </si>
  <si>
    <t>PLACA CUBIERTA (BUJE DE SOPORTE HORQUILLA)</t>
  </si>
  <si>
    <t>1.9.22</t>
  </si>
  <si>
    <t>COMPUESTO EPOXICO DE ALTO FRAGUADO (Combo wear)</t>
  </si>
  <si>
    <t>1.9.23</t>
  </si>
  <si>
    <t>PASADOR</t>
  </si>
  <si>
    <t>2.0.2</t>
  </si>
  <si>
    <t>LAVE STILSON 35"</t>
  </si>
  <si>
    <t>2.0.3</t>
  </si>
  <si>
    <t>LLEVE STILSON 24"</t>
  </si>
  <si>
    <t>2.0.4</t>
  </si>
  <si>
    <t>GRILLETE 5/8</t>
  </si>
  <si>
    <t>2.0.5</t>
  </si>
  <si>
    <t>GRILLETE 3/4</t>
  </si>
  <si>
    <t>2.0.6</t>
  </si>
  <si>
    <t>GRILLETE 1"</t>
  </si>
  <si>
    <t>2.0.7</t>
  </si>
  <si>
    <t>MACETA 5 LB</t>
  </si>
  <si>
    <t>2.0.8</t>
  </si>
  <si>
    <t>MACETA 10 LB</t>
  </si>
  <si>
    <t>2.0.9</t>
  </si>
  <si>
    <t>LLAVE PUNTA CORONA 1" 5/8</t>
  </si>
  <si>
    <t>2.0.10</t>
  </si>
  <si>
    <t>LLAVE PUNTA CORONA 1 "7/16</t>
  </si>
  <si>
    <t>2.0.11</t>
  </si>
  <si>
    <t>ESTROBOS 3/8 X 6 MTS</t>
  </si>
  <si>
    <t>2.0.18</t>
  </si>
  <si>
    <t>REDUCCIÓN CUADRANTE DE 1" A 3/4</t>
  </si>
  <si>
    <t>2.0.19</t>
  </si>
  <si>
    <t>DADO DE 30mm cuadrante 3/4</t>
  </si>
  <si>
    <t>2.0.20</t>
  </si>
  <si>
    <t>DADO DE 36mm cuadrante 3/5</t>
  </si>
  <si>
    <t>2.0.21</t>
  </si>
  <si>
    <t>DADO DE 46mm cuadrante 3/6</t>
  </si>
  <si>
    <t>2.0.22</t>
  </si>
  <si>
    <t>DADO DE 30mm cuadrante 1"</t>
  </si>
  <si>
    <t>2.0.23</t>
  </si>
  <si>
    <t>DADO DE 36mm cuadrante 1"</t>
  </si>
  <si>
    <t>2.0.24</t>
  </si>
  <si>
    <t>DADO DE 46mm cuadrante 1"</t>
  </si>
  <si>
    <t>2.0.26</t>
  </si>
  <si>
    <t>EXTENCION CUADRANTE 3/4</t>
  </si>
  <si>
    <t>2.0.27</t>
  </si>
  <si>
    <t>EXTENCION CUADRANTE 1"</t>
  </si>
  <si>
    <t>2.0.28</t>
  </si>
  <si>
    <t>SET LLAVE ALLEN mm</t>
  </si>
  <si>
    <t>2.0.29</t>
  </si>
  <si>
    <t>JUEGO LLAVE PUNTA CORONA mm</t>
  </si>
  <si>
    <t>2.0.30</t>
  </si>
  <si>
    <t>JUEGO LLAVE PUNTA CORONA PULG.</t>
  </si>
  <si>
    <t>2.0.31</t>
  </si>
  <si>
    <t>JUEGO DE DADO EN PULG.</t>
  </si>
  <si>
    <t>2.0.32</t>
  </si>
  <si>
    <t>HERRAMIENTA RETIRO DE PASADORES</t>
  </si>
  <si>
    <t>GENERADOR  65 kw</t>
  </si>
  <si>
    <t>NO SE  UTILIZA</t>
  </si>
  <si>
    <t>ROBOT DISTRIBUIDOR ELÉCTRICO</t>
  </si>
  <si>
    <t>MAXI LIGHT (Luminaria autógena)</t>
  </si>
  <si>
    <t>PUENTE GRUA PRINCIPAL</t>
  </si>
  <si>
    <t>MARTILLO MULTIPLICADOR DE IMPACTO</t>
  </si>
  <si>
    <t>VERIFICAR GASES</t>
  </si>
  <si>
    <t>PISTOLAS NEUMATICAS CUADRANTE 3/4"</t>
  </si>
  <si>
    <t>PISTOLA ELECTRICA CUADRANTE 3/4"</t>
  </si>
  <si>
    <t>GRATA DE COPA ESMERIL 4 1/2"</t>
  </si>
  <si>
    <t>TUBO</t>
  </si>
  <si>
    <t>TUBO AIRE MEMBRANA</t>
  </si>
  <si>
    <t>3 CU</t>
  </si>
  <si>
    <t>1 CU</t>
  </si>
  <si>
    <t>TUBO CON FLANGE</t>
  </si>
  <si>
    <t>7 CU</t>
  </si>
  <si>
    <t>VALVULA</t>
  </si>
  <si>
    <t>4 CU</t>
  </si>
  <si>
    <t>14 CU</t>
  </si>
  <si>
    <t>JUNTA</t>
  </si>
  <si>
    <t>TUBO TOP BLOW</t>
  </si>
  <si>
    <t>VALVULA REDUCTORA AJU235-50</t>
  </si>
  <si>
    <t>TUBO DN50 PN16 ANSI 2" 150lbs L=480</t>
  </si>
  <si>
    <t>5 CU</t>
  </si>
  <si>
    <t>VALVULA DN 50/PN10</t>
  </si>
  <si>
    <t>TUBO DN50 PN16 ANSI 2" 150lbs L=963</t>
  </si>
  <si>
    <t>TUBO CON FLANGE L365</t>
  </si>
  <si>
    <t>TUBO CON FLANGE L440</t>
  </si>
  <si>
    <t>TUBO CON FLANGE L175</t>
  </si>
  <si>
    <t>MANOMETRO</t>
  </si>
  <si>
    <t>TUBO BRIDAS</t>
  </si>
  <si>
    <t>ACOPLAMIENTO</t>
  </si>
  <si>
    <t>ACOPLAMIENTO TUBO</t>
  </si>
  <si>
    <t>ACOPLAMIENTO TUBO RACOR DN50</t>
  </si>
  <si>
    <t>ABRAZADERA</t>
  </si>
  <si>
    <t>ABRAZADERA ACERO 3" SIN FIN AISI 304</t>
  </si>
  <si>
    <t>MANGUERA</t>
  </si>
  <si>
    <t>CODO</t>
  </si>
  <si>
    <t>CODO CON FLANGE</t>
  </si>
  <si>
    <t>REDUCCION</t>
  </si>
  <si>
    <t>REDUCCION TOP BLOW</t>
  </si>
  <si>
    <t>DUCTO</t>
  </si>
  <si>
    <t>DUCTO 6"</t>
  </si>
  <si>
    <t>TUBO CON FLANGE L150</t>
  </si>
  <si>
    <t>FORRO</t>
  </si>
  <si>
    <t>FORRO  DEGASTE ALIMENTACION FILTRO</t>
  </si>
  <si>
    <t>CABLE</t>
  </si>
  <si>
    <t>CABLE ACERO  PLASTIFICADO 3/16"</t>
  </si>
  <si>
    <t>EJE</t>
  </si>
  <si>
    <t>EJE LADO PRINCIPAL COMPUERTA FILTRO</t>
  </si>
  <si>
    <t>EJE DE COMPUERTA FILTRO PRENSA</t>
  </si>
  <si>
    <t>SOPORTE</t>
  </si>
  <si>
    <t>10 CU</t>
  </si>
  <si>
    <t>RODAMIENTO</t>
  </si>
  <si>
    <t>MANGUITO</t>
  </si>
  <si>
    <t>MANGUITO FIJACION</t>
  </si>
  <si>
    <t>ANILLO</t>
  </si>
  <si>
    <t>CASQUILLO</t>
  </si>
  <si>
    <t>CASQUILLO ETP-100/125</t>
  </si>
  <si>
    <t>PALANCA</t>
  </si>
  <si>
    <t>SHAFT</t>
  </si>
  <si>
    <t>CILINDRO</t>
  </si>
  <si>
    <t>ROTULA</t>
  </si>
  <si>
    <t>ROTULA ACERO</t>
  </si>
  <si>
    <t>TAPA</t>
  </si>
  <si>
    <t>TAPA COMPUERTA FILTROS</t>
  </si>
  <si>
    <t>EJE INFERIOR SOPORTE CILINDRO</t>
  </si>
  <si>
    <t>BURLETE</t>
  </si>
  <si>
    <t>BURLETE SELLO LATERAL M1</t>
  </si>
  <si>
    <t>BURLETE SELLO LATERAL M2</t>
  </si>
  <si>
    <t>JUNTA EXPANSION ERFLEX 6"</t>
  </si>
  <si>
    <t>TUBO DN150/PN16</t>
  </si>
  <si>
    <t>VALVULA BOLA CERAMICA 6"</t>
  </si>
  <si>
    <t>VALVULA CUCHILLO  10"</t>
  </si>
  <si>
    <t>R</t>
  </si>
  <si>
    <t>REPARADO</t>
  </si>
  <si>
    <t>MANGA</t>
  </si>
  <si>
    <t>MANGA GOMA NATURAL KGD10</t>
  </si>
  <si>
    <t>TUBO ENTRADA</t>
  </si>
  <si>
    <t>DUCTO ALIMENTACION FL005</t>
  </si>
  <si>
    <t>TUBO FILTRATE OUTLET -RPH</t>
  </si>
  <si>
    <t>TUBO SALIDA FILTRADO</t>
  </si>
  <si>
    <t>MANGUERA GOMA 1450 MM</t>
  </si>
  <si>
    <t>ACOPLAMIENTO MANGUERA</t>
  </si>
  <si>
    <t>COMPENSADOR</t>
  </si>
  <si>
    <t>COMPENSADOR GOMA DN 150</t>
  </si>
  <si>
    <t>VALVULA DN150/PN16 RS-150/090-100</t>
  </si>
  <si>
    <t>VALVULA MARIPOSA MANUAL DN50</t>
  </si>
  <si>
    <t>TUBO CON FLANGE ANSI 4" 150LB</t>
  </si>
  <si>
    <t>TUBO ENTRADA AIRE</t>
  </si>
  <si>
    <t>VALVULA DN200/PN16</t>
  </si>
  <si>
    <t>VALVULA MARIPOSA MANUAL DN200</t>
  </si>
  <si>
    <t>MANGUERA DN20/PN10</t>
  </si>
  <si>
    <t>HOSE CLAMP 38 SR</t>
  </si>
  <si>
    <t>CONJUNTO COMPLETO TUBO TELA</t>
  </si>
  <si>
    <t>PLACA FILTRANTE REPARADO</t>
  </si>
  <si>
    <t>PLACA MEMBRANA</t>
  </si>
  <si>
    <t>PLACA</t>
  </si>
  <si>
    <t>PLACA FILTRANTE ENSAMBLADA (COMPLETA)</t>
  </si>
  <si>
    <t>PLACA MEMBRANA ENSAMBLADA (COMPLETA)</t>
  </si>
  <si>
    <t>PLACA DE FILTRO CABEZAL PRENSA ASSY</t>
  </si>
  <si>
    <t>CUELLO</t>
  </si>
  <si>
    <t>CUELLO TELAS FILTROS PRENSA</t>
  </si>
  <si>
    <t>TELA</t>
  </si>
  <si>
    <t>TELA FILTRO POLIPROPILENO</t>
  </si>
  <si>
    <t>FERR</t>
  </si>
  <si>
    <t>V</t>
  </si>
  <si>
    <t>AMARRA</t>
  </si>
  <si>
    <t>AMARRACABLES BLANCAS LARGO 380MM</t>
  </si>
  <si>
    <t>RUEDA</t>
  </si>
  <si>
    <t>RUEDA REFORZADA CABEZAL REMOVIBLE</t>
  </si>
  <si>
    <t>RUEDA REFORZADA CABEZAL FIJO</t>
  </si>
  <si>
    <t>PROTECCION</t>
  </si>
  <si>
    <t>ANILLO SEGURO 45MMX1.75MM</t>
  </si>
  <si>
    <t>AMORTIGUADOR</t>
  </si>
  <si>
    <t>TENSOR</t>
  </si>
  <si>
    <t>FUELLE</t>
  </si>
  <si>
    <t>SOPORTE ESLABON PLACA</t>
  </si>
  <si>
    <t>WASHER</t>
  </si>
  <si>
    <t>ARANDELA ISO 7090-21-200HV/BRFB</t>
  </si>
  <si>
    <t>MUNON</t>
  </si>
  <si>
    <t>MUNON EJE</t>
  </si>
  <si>
    <t>OREJETA</t>
  </si>
  <si>
    <t>BUJE</t>
  </si>
  <si>
    <t>CONSOLA</t>
  </si>
  <si>
    <t>VIBRATION ABSORBER</t>
  </si>
  <si>
    <t>VIBRADOR</t>
  </si>
  <si>
    <t>MOTOR VIBRADOR 475W 1500RPM 50/3HZ 230V.</t>
  </si>
  <si>
    <t>PLACA DE CUBIERTA</t>
  </si>
  <si>
    <t>COMPUESTO</t>
  </si>
  <si>
    <t>COMPUESTO EPOXICO DE ALTO FRAGUADO</t>
  </si>
  <si>
    <t>1.9.24</t>
  </si>
  <si>
    <t>FILTRO</t>
  </si>
  <si>
    <t>Filtrado</t>
  </si>
  <si>
    <t>R. Contrera</t>
  </si>
  <si>
    <t>Falla en accionamiento de compuerta inferior ( no evaluada, fl002)</t>
  </si>
  <si>
    <t>Mecanico</t>
  </si>
  <si>
    <t xml:space="preserve">Considerar en Hazop "Revision de accionamiento de compuerta con anticipacion para poder evaluar y proyectar tiempos de reparacion y planificacion". </t>
  </si>
  <si>
    <t>R. Contera</t>
  </si>
  <si>
    <t>Programado semana 26-01 al 01-02 en mantencion semanal FL003</t>
  </si>
  <si>
    <t>Filtro 5</t>
  </si>
  <si>
    <t>A.Tolosa</t>
  </si>
  <si>
    <t>Realizar buena inspección antes de emitir diagnostico (actividad ducto cabezal fijo)</t>
  </si>
  <si>
    <t>Considerar en Hazop la Coordinación con personal de GSO CMDIC medición a de espesores en ducto aire y agua drenaje cabezal fijo.</t>
  </si>
  <si>
    <t>P.Perez</t>
  </si>
  <si>
    <t>Gestionado a traves de JC.Mella</t>
  </si>
  <si>
    <t>A. Contreras</t>
  </si>
  <si>
    <t>Falla de Puente Grúa durante mantenimiento Semestral impacta el cumplimiento de carta gantt.</t>
  </si>
  <si>
    <t>Considerar en Hazop la Coordinación de revisión previa  de puente grúa principal y auxiliar, asegurando (Certificar color del mes).</t>
  </si>
  <si>
    <t>R. Segovia.</t>
  </si>
  <si>
    <t xml:space="preserve">Repuestos no quedan en punto de trabajo. </t>
  </si>
  <si>
    <t>Incorporar el Hazop Revisión y definición de  layout de repuestos en plataformas y asegurar su cumplimiento.</t>
  </si>
  <si>
    <t>R. Segovia</t>
  </si>
  <si>
    <t>Herramientas no quedan en punto.</t>
  </si>
  <si>
    <t>Incorporar en el Hazop la ubicación exacta donde quedan las herramientas en el área de trabajo.</t>
  </si>
  <si>
    <t>Enviar a fabricar brazos pescante o pata de cabra para cambiar VV clarkson o elastometro y liberar puente grúa.</t>
  </si>
  <si>
    <t>Incorporar en Hazop el armado de pata de cabra para cambio de válvulas clarkson.</t>
  </si>
  <si>
    <t>J. Area Mec</t>
  </si>
  <si>
    <t>Se debe diseñar y enviar a fabricar.</t>
  </si>
  <si>
    <t>Placas reparadas vienen separadas en filtrante y membrana. Se requiere que esten de pares</t>
  </si>
  <si>
    <t xml:space="preserve"> </t>
  </si>
  <si>
    <t>Programado semana 26-01 al 01-02</t>
  </si>
  <si>
    <t>Dejar todo al alcance de puente grúa auxiliar para no depender de puente principal.</t>
  </si>
  <si>
    <t>Incorporar en Hazop definición de  layout de distribucion de repuestos en plataforma de filtros y su seguimiento al cumplimiento.</t>
  </si>
  <si>
    <t>cada vez</t>
  </si>
  <si>
    <t>Perdida de tiempo y dependencia de puente grúa para subir repuestos desde primer piso a plataforma filtros.</t>
  </si>
  <si>
    <t>Programado semana 02-02</t>
  </si>
  <si>
    <t>Disponer cajones para perneria.</t>
  </si>
  <si>
    <t>Implementar cajones para pernería.</t>
  </si>
  <si>
    <t>R. Harvey</t>
  </si>
  <si>
    <t>Los cajones para pernería deben quedar en las estanterías del área filtros.</t>
  </si>
  <si>
    <t>C. Roa</t>
  </si>
  <si>
    <t>Baja Disponibilidad de maquinas de soldar.</t>
  </si>
  <si>
    <t>R. Villablanca</t>
  </si>
  <si>
    <t>P. Tolosa</t>
  </si>
  <si>
    <t xml:space="preserve">Mejorar sistema de lubricación a rodamiento compuertas lado fijo (instalando líneas, con puntos cerca del pasillo) </t>
  </si>
  <si>
    <t>Incorporar en Hazop la revisión de flexibles de lubricación centralizado de lubricación de rodamientos compuertas.</t>
  </si>
  <si>
    <t>Se debe implementar previamente. Pendiente levantamiento para compra de materiales e implementacion</t>
  </si>
  <si>
    <t>Filtro 1</t>
  </si>
  <si>
    <t>R.Contreras</t>
  </si>
  <si>
    <t>Fabricación de placas target para sensores de apertura y cierre de prensa de filtros</t>
  </si>
  <si>
    <t>Plastificar planos del filtro y mantenerlos en terreno para las M. Semestrales.</t>
  </si>
  <si>
    <t>Incorporar en Hazop la preparación dentro de la carpeta de la intervención.</t>
  </si>
  <si>
    <t>Tardía activación del FODA y falta de incorporación de interesados hace perder oportunidades de mejora.</t>
  </si>
  <si>
    <t>Definir responsable de activación y personal que debe incorporarse.</t>
  </si>
  <si>
    <t>Los programadores del turno en que cae la intervención son los responsables de activar del FODA e incorporación de los interesados.</t>
  </si>
  <si>
    <t>Soportes de sensores deben estar considerados dentro de los preparativos.</t>
  </si>
  <si>
    <t>E&amp;I</t>
  </si>
  <si>
    <t>Incorporar en el APL de Repuestos los soportes de los sensores.</t>
  </si>
  <si>
    <t>Solicitar catalogación</t>
  </si>
  <si>
    <t>Siempre debe considerarse personal periférico para atender contingencias</t>
  </si>
  <si>
    <t>SE DEJO PERSONAL EXTRA PARA EL MANTENIMIENTO</t>
  </si>
  <si>
    <t>R. Contreras</t>
  </si>
  <si>
    <t>Preparar previamente líneas de lubricación para rodamientos de compuerta</t>
  </si>
  <si>
    <t>REPUESTO TODAVIA NO LLEGA</t>
  </si>
  <si>
    <t>M. Poblete</t>
  </si>
  <si>
    <t>Preparar jaula para cilindros de gas y acetileno en terreno</t>
  </si>
  <si>
    <t>SE SOLICITA COMPRA , LA CUAL SIEMENS AUN NO COMPRA.</t>
  </si>
  <si>
    <t>M.Poblere</t>
  </si>
  <si>
    <t>No se considera en los preparativos el empaque cónico para vulcolet COD. 49973</t>
  </si>
  <si>
    <t>Estaba incorporado pero no se preparó. Medidas administrativas.</t>
  </si>
  <si>
    <t>Considerar dentro de los preparativos la fabricación de la soportación de la línea de aire membranas.</t>
  </si>
  <si>
    <t>Considerar dentro de los preparativos la fabricación de la soportación de la líneas de aire soplado.</t>
  </si>
  <si>
    <t>Comprar spray fluorescente  para marcar pernos torqueados tanto estructurales como de ductería</t>
  </si>
  <si>
    <t>Incorporar en APL de Insumos</t>
  </si>
  <si>
    <t>Existe utilización de pernería de distinto largo para misma utilización, utilizando paquetes de golillas.</t>
  </si>
  <si>
    <t>Incorporar en APL de Repuestos una columna de identificación de uso de la pernería.
Incorporar en Hazop la clasificación y separación  pernos en cajas rotuladas por utilización.</t>
  </si>
  <si>
    <t>Dentro de los preparativos se deben exigir golillas adecuadas para la solicitación. Las golillas instaladas son muy delgadas y se  deforman.</t>
  </si>
  <si>
    <t>Catalogar golillas para filtros y agregar código a APL de repustos.</t>
  </si>
  <si>
    <t>Se encuentran en APL.</t>
  </si>
  <si>
    <t>Filtro 2</t>
  </si>
  <si>
    <t>J. Vergara</t>
  </si>
  <si>
    <t>Todos los cilindros de gases se encuentran vacíos en  terreno.</t>
  </si>
  <si>
    <t>Considerado en APL de Insumos y se reporta en preparativos como 100%. Investigar y Generar medidas administrativas.</t>
  </si>
  <si>
    <t>P.Perez/ R. Harvey.</t>
  </si>
  <si>
    <t>No se preparan empaquetaduras para cambio de ductos como preparativos</t>
  </si>
  <si>
    <t>Considerar en APL de Repuestos.</t>
  </si>
  <si>
    <t>Programado semana 02-02. Pendiente compra material sin stock</t>
  </si>
  <si>
    <t>Ductos no se suben a la plataforma de los filtros los repuestos de los ductos a cambio, creando dependencia de puente grúa.</t>
  </si>
  <si>
    <t>Asegurar el entendimiento dentro de la organización respecto a que el cumplimiento de los preparativos debe ser la herramienta para definir si una intervención se realiza o no.</t>
  </si>
  <si>
    <t xml:space="preserve">J. Area  </t>
  </si>
  <si>
    <t>Revisar como impacta el retiro de piezas usadas durante el mantenimiento a modo de validar o  redefinir estrategia.</t>
  </si>
  <si>
    <t>Incorporar en Hazopo preparar  palett repisa para repuestos nuevos y usados, estos últimos a retirar post mantenimiento.</t>
  </si>
  <si>
    <t>Falta de definición de personal que apoya en el mantenimiento genera desconcierto y entropía.</t>
  </si>
  <si>
    <t>se definio el personal y los grupo de trabajo de los supervisores</t>
  </si>
  <si>
    <t>Desplazamiento de mantenimiento no evalúa el impacto de cambio de turno sin personal de apoyo cordillera ni lixiviación.</t>
  </si>
  <si>
    <t>Investigar y definir planes de acción</t>
  </si>
  <si>
    <t>Confirmada fecha mantencion 04-02-17</t>
  </si>
  <si>
    <t>A. Collao</t>
  </si>
  <si>
    <t>No contar con ducto pantalón, válvula larox, eje compuerta, placas, buje. Todo lo anterior comprados el dia 30…</t>
  </si>
  <si>
    <t>Asegurar compra minimo 15 días de anticipación.</t>
  </si>
  <si>
    <t>Al inicio de turno no se contaba con instalación de buje en soporte horquilla ¿soldar bujes en soportes?</t>
  </si>
  <si>
    <t>Programado en Preparativos Sem 5.</t>
  </si>
  <si>
    <t>Maniobras inadecuadas de izaje por falta de anclajes (orejas)</t>
  </si>
  <si>
    <t>Incorporar en el Hazop el levantamiento de los requerimientos de puntos de anclaje y generar los WR para que se programe preparativo.</t>
  </si>
  <si>
    <t>Programado semana 26-01 al 01-02. Pendiente confirmacion repuesto 25-02 (se cuenta con repuesto)</t>
  </si>
  <si>
    <t>Maniobras de izaje sin protecciones de cantos vivos</t>
  </si>
  <si>
    <t>Incorporar dentro del APL Insumos el tener preparadas protecciones para cantos vivos</t>
  </si>
  <si>
    <t>Contingencias en los demás filtros se atienden con personal de la semestral.</t>
  </si>
  <si>
    <t>E.loyola</t>
  </si>
  <si>
    <t>Fabricación de otro atril para colgar telas adicionales para contingencia de otros filtros.</t>
  </si>
  <si>
    <t>Extender el atril existente.</t>
  </si>
  <si>
    <t>Programado semana 26-01 al 01-02.</t>
  </si>
  <si>
    <t>Filtro 3</t>
  </si>
  <si>
    <t>Se adelnatan trabajos turno noche, hasta retiro total de placas.</t>
  </si>
  <si>
    <t>Mecánica</t>
  </si>
  <si>
    <t>Simepre que se pueda realizar estara esta fortaleza.</t>
  </si>
  <si>
    <t>Por rotura de ductos corto en FL002 se reciben lozas instransitables. Se define sacar gente para dar paso a limpieza.</t>
  </si>
  <si>
    <t>Se comienza en planes semanales la normalización de ductos</t>
  </si>
  <si>
    <t>Linea de lavado y soplado ductos 2" no considerados en Semestral y no se reparan.</t>
  </si>
  <si>
    <t>Se comienza en planes semanales con ductos.</t>
  </si>
  <si>
    <t>Se encuentran en carta gantt futuras.</t>
  </si>
  <si>
    <t>Centrador de flanges reduce tiempos.</t>
  </si>
  <si>
    <t>Mecánico</t>
  </si>
  <si>
    <t>Se encuentra en evalucion.</t>
  </si>
  <si>
    <t>Falta de ductos ya con parches pasan la cuenta en plena semestral FL003</t>
  </si>
  <si>
    <t>Se tiene ingresar a APL repuesto</t>
  </si>
  <si>
    <t>Consolidar cantidad de cuerpos de andamios a utilizar en filtro. Se tienen que realizar levantamiento de cuerpos de contrato Siemens.</t>
  </si>
  <si>
    <t>Se tiene que definir en preparativos según actividades a tomar</t>
  </si>
  <si>
    <t>Se realiza levantamiento para compra de nuevos andamios.</t>
  </si>
  <si>
    <t>Habilitación de enchufes 220v en 4 nivel de filtro. Tanto los existente como los que son necesario para mantenciones.</t>
  </si>
  <si>
    <t>Eléctrico</t>
  </si>
  <si>
    <t>Se instalan nuevos enchufes, de igual manera no dana abasto para consumo en semestral, tener plan B (contar con generador)</t>
  </si>
  <si>
    <t>No estan todos los ductos de 2" como repuestos tanto lado cabezal movil como fijo.</t>
  </si>
  <si>
    <t>Incluir en APL repuestos</t>
  </si>
  <si>
    <t>Todos los ductos se encuentran en APL.</t>
  </si>
  <si>
    <t>Repuesto de V9 sin existencia en bodega.</t>
  </si>
  <si>
    <t>Bodega CMDIC</t>
  </si>
  <si>
    <t>Realizar aviso aportuno a J.C Mella</t>
  </si>
  <si>
    <t>Se realiza compra</t>
  </si>
  <si>
    <t>Sin WD40 durante intervención.</t>
  </si>
  <si>
    <t>Abasteciemiento</t>
  </si>
  <si>
    <t>Se tiene que enviar LVAC a abastecimeinto 15 días anticipado para su respuesta con inusmo.</t>
  </si>
  <si>
    <t>Humedad de aire de instrumentación impacta en operación de válvulas.</t>
  </si>
  <si>
    <t>Instrumentación</t>
  </si>
  <si>
    <t>Plataforma ESED sin agua 2 días.</t>
  </si>
  <si>
    <t>Operaciones</t>
  </si>
  <si>
    <t>N/A</t>
  </si>
  <si>
    <t>PERSONAL DE APOYO EN CASA DE CAMBIO</t>
  </si>
  <si>
    <t>Operaciones sin hidrolavadora para lavado de placas.</t>
  </si>
  <si>
    <t xml:space="preserve">Solicitar hidrolavadora en punto de trabajo (comprar nueva hidrolavadora) </t>
  </si>
  <si>
    <t>Operaciones compra nueva hidrolavadora para lavado de placas.</t>
  </si>
  <si>
    <t>Preparativos repuestos en niveles reduciendo tiempo</t>
  </si>
  <si>
    <t>Se realiza layauot para repuestos en diferentes pisos de planta.</t>
  </si>
  <si>
    <t xml:space="preserve">Nueva estrategia de entrega de EPP reduce tiempos muertos </t>
  </si>
  <si>
    <t>Se preparan EPP para cada personal día antes de intervecnción.</t>
  </si>
  <si>
    <t>Levantamiento de todas las soportaciones de ductos en filtro de prensa que sean necesarios</t>
  </si>
  <si>
    <t>Mecánico/instrumentacion</t>
  </si>
  <si>
    <t>Se realiza planilla de seguimiento de ductos de planta.</t>
  </si>
  <si>
    <t>Filtro 4</t>
  </si>
  <si>
    <t>M. Contreras</t>
  </si>
  <si>
    <t>No se realiza limpieza por parte de operaciones a filtro.</t>
  </si>
  <si>
    <t>En reunión de las 18:30 hrs de día anterior se tiene reforzar a operaciones limpieza de filtros.</t>
  </si>
  <si>
    <t>No se cuenta con empaquetaduras.</t>
  </si>
  <si>
    <t>Se realiza solicitud de cambio de extatus dereposición usuario a repocicion automatica (J.Mella)</t>
  </si>
  <si>
    <t>P. Perez</t>
  </si>
  <si>
    <t>M. Espejo</t>
  </si>
  <si>
    <t>No se realiza bloqueo de acuerdo a lo difinido en reunion.</t>
  </si>
  <si>
    <t>J. Operaciones CMDIC</t>
  </si>
  <si>
    <t>No llegan radios solicitadas.</t>
  </si>
  <si>
    <t>Seguimiento a compra de radios solicitadas.</t>
  </si>
  <si>
    <t>Llegan 5 radios nuevas, se cuentan con 8 radios grupo Mecánicos y 3 el grupo eléctricos.</t>
  </si>
  <si>
    <t>D. Ibañez</t>
  </si>
  <si>
    <t>Comprar herramienta adecuada para corte y fabricación de empaquetadura.</t>
  </si>
  <si>
    <t xml:space="preserve">Solicitar solcom de compra de herramientas </t>
  </si>
  <si>
    <t>Incorporar dentro de carta gantt HH para armado de telas.</t>
  </si>
  <si>
    <t>Programación</t>
  </si>
  <si>
    <t>Incorporar HH a Carta Gantt semestral de filtro</t>
  </si>
  <si>
    <t>Se dejan destinadas HH dentro de carta gantt de mantencion semestral de filtro para armado de telas.</t>
  </si>
  <si>
    <t>R. Ruiz</t>
  </si>
  <si>
    <t>Programar cambio de valvula de bloqueo de linea de aire en las mantenciones semestrales</t>
  </si>
  <si>
    <t>Planificación</t>
  </si>
  <si>
    <t>programar el cambio de valvulas, incluir en plan matriz</t>
  </si>
  <si>
    <t>Planificación CMDIC</t>
  </si>
  <si>
    <t>R. Vilca</t>
  </si>
  <si>
    <t>Fabricación de empaquetadura previa a la mantención</t>
  </si>
  <si>
    <t>Incluir en Lvac en actividades previas</t>
  </si>
  <si>
    <t>Planificación Siemens</t>
  </si>
  <si>
    <t>Esta dentro de preparativos en taller en LVAC a la tarea.</t>
  </si>
  <si>
    <t>L. Vidal</t>
  </si>
  <si>
    <t>No se limpia losa de tercer nivel y personal de aseo no esta en el punto</t>
  </si>
  <si>
    <t>Incluir en preparativos e enviar correo a Andres Gonzales asegurando limpieza.</t>
  </si>
  <si>
    <t>el 27-09 se incoopora en preparativos</t>
  </si>
  <si>
    <t>Operaciones no entrega equipo en hora establecida para iniciar la mantención</t>
  </si>
  <si>
    <t>Fabricación de plataformas para dejar repuestos frente al FL005</t>
  </si>
  <si>
    <t>Realizar levantameinto y diseño de estanteria para repuestos.</t>
  </si>
  <si>
    <t>P. Elisondo/H. Galvez</t>
  </si>
  <si>
    <t>27-09 se envia correo a responsable.</t>
  </si>
  <si>
    <t>C. Marin</t>
  </si>
  <si>
    <t>Tener dispensadores de basura en el area</t>
  </si>
  <si>
    <t>Incorporar en preparativos que se cuente con ellos en área de trabajo. Solictar a CMDC</t>
  </si>
  <si>
    <t>se incorpora en lista de preparativos con fecha 27-09-2017</t>
  </si>
  <si>
    <t>No se realiza la actividad de limpieza de filtro y placas</t>
  </si>
  <si>
    <t>Asegurar cumplimiento de carta Gantt, y solicitud de protocolo de entrega de equipos</t>
  </si>
  <si>
    <t>supervisores</t>
  </si>
  <si>
    <t>Cada vez</t>
  </si>
  <si>
    <t>De no cumplirce escalar el tema</t>
  </si>
  <si>
    <t xml:space="preserve"> Cambio de mangas de valvula larox a prueba durante la mantención.</t>
  </si>
  <si>
    <t xml:space="preserve">Asegurar el cumplimiento de los preparativos considerados en los programas semanales previos </t>
  </si>
  <si>
    <t>Linea de supervisión debe priorizar lo importante por sobre lo urgente y levantar a nivel superior el cambio de prioridades de los preparativos</t>
  </si>
  <si>
    <t>No se sueldan bujes de horquillas como preparativo</t>
  </si>
  <si>
    <t>Solicitar que buje sea incorporada a horquilla por proveedor</t>
  </si>
  <si>
    <t>M. Meriño</t>
  </si>
  <si>
    <t>unica vez</t>
  </si>
  <si>
    <t>27-09 se envia correo a responsable</t>
  </si>
  <si>
    <t>No se cuenta con extensión cuadrante de 1" para torqueo de soporte horquilla.</t>
  </si>
  <si>
    <t>Realizar solcom para su compra.</t>
  </si>
  <si>
    <t>Abastecimeinto</t>
  </si>
  <si>
    <t>03-09-2017 se genera solcom  x cinco unidades ( Luis Cortes)</t>
  </si>
  <si>
    <t>No se encuentran pernos en area para soporte horquilla.</t>
  </si>
  <si>
    <t>Asegurar cumplimeinto de preparativos en programa semanal.</t>
  </si>
  <si>
    <t>No se preparan las empaquetadura.</t>
  </si>
  <si>
    <t>Verificar espesor ductos salientes lado cabezal fijo.</t>
  </si>
  <si>
    <t>Incoporar en preparativos la medición de espesor de ductos para definir cambio.</t>
  </si>
  <si>
    <t>No se fabrican ductos inferiores de drenaje en preparativos (insertos lado fijo)</t>
  </si>
  <si>
    <t>Incoporar en preparativos fabricación de ducto meintras se asegure su catalogación (con revestimiento poliupretano)</t>
  </si>
  <si>
    <t>Considerar lijadora de banda para pulido de rieles y bastidor para cambio de pernos.</t>
  </si>
  <si>
    <t>Considerar pre armado de ducteria como preparativo</t>
  </si>
  <si>
    <t>Considerar en preparativos y dentro de programa semanal.</t>
  </si>
  <si>
    <t>Planificacion</t>
  </si>
  <si>
    <t>No se cuenta con oxigenos en punto de trabajo (para cambio de botellas)</t>
  </si>
  <si>
    <t>Habilitar jaula para depositos de oxigeno y acetileno.</t>
  </si>
  <si>
    <t>seguimiento a compra de jaulas para traslado de cilindros</t>
  </si>
  <si>
    <t>Pedro Perez</t>
  </si>
  <si>
    <t>Brida de 4" cabezal movil, no coincide.</t>
  </si>
  <si>
    <t>La instalacion de puntos de anclaje deben ser con terminación con pintura para evitar corrosión.</t>
  </si>
  <si>
    <t>Incorporar en instructivo de instalación de ptos de anclaje la pintura en la terminación</t>
  </si>
  <si>
    <t>03-10-2017 se envia correo a linea de supervisión por la incooporación en instructivo de trabajo y por la entrega de especificaciones tecnicas a bodega para la compra de pintura</t>
  </si>
  <si>
    <t>Pernos separadores de portatelas en lado contrario.</t>
  </si>
  <si>
    <t>1.-General lista de chequeo para los porta telas con plano del fabricante                                                                
2.-Incorporar en preparativos  siemens la cumplimiento de la verificación de porta Telas</t>
  </si>
  <si>
    <t>1.-Media
2.-Media</t>
  </si>
  <si>
    <t>1.-supervisores
2.-Planificación</t>
  </si>
  <si>
    <t>1.-50
2.-100</t>
  </si>
  <si>
    <t>1.-03-10-2017 Se envia correo a linea de supervición para la generación de lista chequeo
2.-03-09-2017 Se incorpora en lista de preparativos</t>
  </si>
  <si>
    <t>considerar bandeja para clasificación de perneria</t>
  </si>
  <si>
    <t>Chavetas instaladas sentido inverso.</t>
  </si>
  <si>
    <t>Incorporar en instructivo la forma correcta de instalar las chavetas</t>
  </si>
  <si>
    <t xml:space="preserve">03-10-2017 se envia correo a linea de supervisión por la incooporación en instructivo de trabajo </t>
  </si>
  <si>
    <t>Fugas en filtros contiguos mientras se realiza mantención</t>
  </si>
  <si>
    <t>implementación de cortinas para evitar la proyecion de pulpa</t>
  </si>
  <si>
    <t>generar solicitud de insumos para la instalación de cortinas</t>
  </si>
  <si>
    <t>Fuga en flange de ducto.</t>
  </si>
  <si>
    <t>Incorporar en instructivo la forma corresta de apretar flanje</t>
  </si>
  <si>
    <t xml:space="preserve">03-10-2017 se envia correo a linea de supervisión por la incorporación en instructivo de trabajo </t>
  </si>
  <si>
    <t>DEBILIDAD</t>
  </si>
  <si>
    <t>R. VILCA</t>
  </si>
  <si>
    <t>Instalación de tres placa madre en filtro</t>
  </si>
  <si>
    <t>Mal calado en valvula v9</t>
  </si>
  <si>
    <t>Valvula de aguja al reves</t>
  </si>
  <si>
    <t>Mal conexionado de valvulas v8</t>
  </si>
  <si>
    <t>Metodología de instalacion de rieles</t>
  </si>
  <si>
    <t>Limpieza del area en cada cambio de turno</t>
  </si>
  <si>
    <t>Ordenamiento de pernos el cajas</t>
  </si>
  <si>
    <t>Logistica de personal de apoyo ( Ropa, Casa de cambio)</t>
  </si>
  <si>
    <t>OPORTUNIDAD</t>
  </si>
  <si>
    <t>Mejora en plan de mantenimiento HU</t>
  </si>
  <si>
    <t>Generar tareas por dias para en mantenimiento</t>
  </si>
  <si>
    <t>Generación del plan de  segregacion de cierre</t>
  </si>
  <si>
    <t>Plataforma de trabajo para el cambio de rieles</t>
  </si>
  <si>
    <t>Falta de agua en bodega al inicio de la mantención</t>
  </si>
  <si>
    <t>Mejorar el APL de repuestos eléctrico.</t>
  </si>
  <si>
    <t>Falla en Forro desgaste cabezal fij0</t>
  </si>
  <si>
    <t>Linea de supervición no se apega a carta gantt</t>
  </si>
  <si>
    <t>soporte cilindro con falla de diseño repuesto nuevo</t>
  </si>
  <si>
    <t>AMENAZA</t>
  </si>
  <si>
    <t>cabezal fijo con falla desgaste de hilo para inserto de 2"</t>
  </si>
  <si>
    <t>Ductos de alimentación a las linea 2" con desgaste, no considerados en la mantención de semestral</t>
  </si>
  <si>
    <t>J. Lucares</t>
  </si>
  <si>
    <t>No incorporar en plan semanal de Lubricación actividades de Carta Gantt de lubriación.</t>
  </si>
  <si>
    <t>Ajustar carga de trabajo de plan semanal según HH disponibles</t>
  </si>
  <si>
    <t>En reunion de revisión de plan semanal se tiene que realizar ajuste de HH (reunión día Domingo programación y Jefe Turno)</t>
  </si>
  <si>
    <t>Incorporar repuesto de lubricación en APL (filtros, vasos lubricación)</t>
  </si>
  <si>
    <t>Ingresar solicitud en APL repuesto</t>
  </si>
  <si>
    <t>Programar apoyo de camion pluma para traslado de tambores de aceite a filtro.</t>
  </si>
  <si>
    <t>Apoyo tiene que quedar dentro de plan semanal de prepativo.</t>
  </si>
  <si>
    <t>No se incorpora apoyo de soldador a grupo electrico</t>
  </si>
  <si>
    <t>Se tiene que considerar dentro de programación</t>
  </si>
  <si>
    <t>Solicitar inspecciones genral de componentes criticos ( accionamiento compuerta, tinta penetrante a soporte horquilla) plan semanal previo a mantención semestral.</t>
  </si>
  <si>
    <t>Incorporar dentro de plan semanal 1 mes antes de mantención semestral.</t>
  </si>
  <si>
    <t>Rigurisidad cumplimeinto a carta Gantt</t>
  </si>
  <si>
    <t>J. Aréa</t>
  </si>
  <si>
    <t>C.Roa</t>
  </si>
  <si>
    <t>Optimizar en base a las impecciones previa los tiempos en carta gantt</t>
  </si>
  <si>
    <t>Consolidar inspecciones generales de equipos.</t>
  </si>
  <si>
    <t>Solicitud de área permanente para respuesto Filtro</t>
  </si>
  <si>
    <t>Solicitar área para manejo permante de filtro, se propone 3 piso sector filtro 5.</t>
  </si>
  <si>
    <t>Falla de portatela nuevo, fisura en soldaduras (repuesto no original)</t>
  </si>
  <si>
    <t>Solicitar compra de repuesto original</t>
  </si>
  <si>
    <t>J. Area</t>
  </si>
  <si>
    <t>NO RETIRAR PORTATELAS AZUL</t>
  </si>
  <si>
    <t>Considerar Jefe de area en mantenciones mayores</t>
  </si>
  <si>
    <t>Reorganización de la empresa, Jefes de turno</t>
  </si>
  <si>
    <t>Considerar cajas plasticas para perneria de diferentes actividades de mantencion.</t>
  </si>
  <si>
    <t>A.Collao</t>
  </si>
  <si>
    <t>Incoporar en APL los repuestos de unidad Hidraulica.</t>
  </si>
  <si>
    <t>Se deben considerar en APL los repuestos a utilizar en unidad hidraulica</t>
  </si>
  <si>
    <t>J. Lucares /H. Alvear.</t>
  </si>
  <si>
    <t xml:space="preserve">No se condirean HH para cambio de telas de filtros </t>
  </si>
  <si>
    <t>Se debe considerar cambio de telas que cumpliran los ciclos.</t>
  </si>
  <si>
    <t>L. Longa</t>
  </si>
  <si>
    <t>Sin personal para atender contingencia en resto de filtro</t>
  </si>
  <si>
    <t xml:space="preserve">levantar bloqueo delFl002 para sacar bloqueo del PLC </t>
  </si>
  <si>
    <t>Falla puente grua principal durante la mantención</t>
  </si>
  <si>
    <t xml:space="preserve">No calsa perneria entre valvula v7 y flanje, distintas normas de fabricación ansi y din) </t>
  </si>
  <si>
    <t>Falla en valvula v3 en puesta en servicio</t>
  </si>
  <si>
    <t>Cumplimiento de tiempos en carta gantt</t>
  </si>
  <si>
    <t>Cumplimiento de plan con su totalidad de actividades.</t>
  </si>
  <si>
    <t xml:space="preserve">Mejorar el control de repuesto y reparables </t>
  </si>
  <si>
    <t>Mejora acceso a costado de filtro</t>
  </si>
  <si>
    <t>Mejora en proceso de reparables</t>
  </si>
  <si>
    <t>GSO</t>
  </si>
  <si>
    <t>P. Elisondo</t>
  </si>
  <si>
    <t>Placas de repuesto reparadas con deficiencia</t>
  </si>
  <si>
    <t>discrepancia en ductos de descarga de 4"</t>
  </si>
  <si>
    <t>Discrepancia en soporte de cilindro hidráulicos</t>
  </si>
  <si>
    <t>deficiente control de calidad a repuestos para mantenimiento</t>
  </si>
  <si>
    <t>adelanto de fecha de mantenimiento</t>
  </si>
  <si>
    <t>entrega 5 horas despues del horario de entrega, debido a falla en repuesto reparado</t>
  </si>
  <si>
    <t>instalacion de placas reparadas con deficiencia.</t>
  </si>
  <si>
    <t>BOMBA ALTA PRESION</t>
  </si>
  <si>
    <t>BOMBA</t>
  </si>
  <si>
    <t>FILTRO DESECHABLE  FS06C</t>
  </si>
  <si>
    <t>HOSE</t>
  </si>
  <si>
    <t>HYDRAULCI HOSE, 1014-20 BLOQUEADO PROCESO OBSOLETO 2012</t>
  </si>
  <si>
    <t>HYDRAULCI HOSE, 720-08 BLOQUEADO PROCESO OBSOLETO 2012</t>
  </si>
  <si>
    <t>LUBRICADOR</t>
  </si>
  <si>
    <t>LUBRICADOR AUTOMATICO 150 GRS</t>
  </si>
  <si>
    <t>MANOMETRO 2-1/2" DIAL 0-1000 PSI 1/4"NPT    OBSOLES. TECNICA LIXIVIACION</t>
  </si>
  <si>
    <t>MANOMETRO 2-1/2" DIAL 0-6000 PSI 1/4"NPT</t>
  </si>
  <si>
    <t>CELDA</t>
  </si>
  <si>
    <t>CELDA  CARGA</t>
  </si>
  <si>
    <t>CELDA CARGA</t>
  </si>
  <si>
    <t>CELDA DE CARGA</t>
  </si>
  <si>
    <t>0 MT</t>
  </si>
  <si>
    <t>FLEXIBLE</t>
  </si>
  <si>
    <t>FLEXIBLE METALICO  REVESTIDO GRIS 1/2"</t>
  </si>
  <si>
    <t>FLEXIBLE METALICO  REVESTIDO GRIS 3/4"</t>
  </si>
  <si>
    <t>CONECTOR</t>
  </si>
  <si>
    <t>CONECTOR RECTO 3/8 X 1/4" NPT HE</t>
  </si>
  <si>
    <t>CONTACTOR</t>
  </si>
  <si>
    <t>CONTACTOR BOBINA 110VAC 22KW</t>
  </si>
  <si>
    <t>INTERRUPTOR</t>
  </si>
  <si>
    <t>INTERRUPTOR DESALINEAMIENTO</t>
  </si>
  <si>
    <t>INTERRUPTOR VELOCIDAD CERO</t>
  </si>
  <si>
    <t>CONTACTO</t>
  </si>
  <si>
    <t>20 CU</t>
  </si>
  <si>
    <t>LUMINARIA</t>
  </si>
  <si>
    <t>MOTOR</t>
  </si>
  <si>
    <t>MOTOR ELECTRICO 30HP 1500 RPM 400 V</t>
  </si>
  <si>
    <t>MOTOR ELECTRICO 50HP 1500 RPM 400 V</t>
  </si>
  <si>
    <t>MOTOR ELECTRICO 7.5 HP 1480 RPM 380 V</t>
  </si>
  <si>
    <t>NIPLE</t>
  </si>
  <si>
    <t>NIPLE HEX. LARGO MACHO BRONCE 1/2" OD</t>
  </si>
  <si>
    <t>PRENSA</t>
  </si>
  <si>
    <t>PRENSA TIPO CROSBY SS450</t>
  </si>
  <si>
    <t>INTERRUPTOR  CABLE 600 VAC 7,5 AMPS</t>
  </si>
  <si>
    <t>INTERRUPTOR PARADA EMERG 400V 6A 300VAC</t>
  </si>
  <si>
    <t>INTERRUPTOR PARO EMERGENCIA C10,PULLCORD</t>
  </si>
  <si>
    <t>RELE</t>
  </si>
  <si>
    <t>RELE CONTROL SALIDA 24 VDC</t>
  </si>
  <si>
    <t>SENSOR</t>
  </si>
  <si>
    <t>SENSOR ATOLLO 1,77V RMS 250 VP 44.2 M A</t>
  </si>
  <si>
    <t>SENSOR INDUCTIVO M30</t>
  </si>
  <si>
    <t>SWITCH</t>
  </si>
  <si>
    <t>SWITCH DE PRESIÓN</t>
  </si>
  <si>
    <t>TRANSMISOR</t>
  </si>
  <si>
    <t>TRASMISOR NIVEL MULTIRANGE 100, 1 RELAY</t>
  </si>
  <si>
    <t>TRANSMISOR SENSOR ATOLLO BLOQUEADO PROCESO OBSOLETOS 2010</t>
  </si>
  <si>
    <t>TRANSMISOR DE PESAJE 4-20MA</t>
  </si>
  <si>
    <t>VALVULA DE CORTE, CONEXION 1/2"</t>
  </si>
  <si>
    <t>Código Ferreteria CS 000747913</t>
  </si>
  <si>
    <t xml:space="preserve">SE GENERA RQ CON 95 ITEM </t>
  </si>
  <si>
    <t>RUEDA CABEZAL FIJO</t>
  </si>
  <si>
    <t>Codigo fusionado</t>
  </si>
  <si>
    <t>12 CU</t>
  </si>
  <si>
    <t>1.9.25</t>
  </si>
  <si>
    <t>11 CU</t>
  </si>
  <si>
    <t>SD 2187</t>
  </si>
  <si>
    <t>Mantención Sementral 310FL002</t>
  </si>
  <si>
    <t>A64881</t>
  </si>
  <si>
    <t>PARRILLA</t>
  </si>
  <si>
    <t>PARRILLA FRP</t>
  </si>
  <si>
    <t>15 CU</t>
  </si>
  <si>
    <t>CORDILLERA CMDIC GMT1401A</t>
  </si>
  <si>
    <t>EXTENDIDA</t>
  </si>
  <si>
    <t>1.3.11</t>
  </si>
  <si>
    <t>VALVULA CERAMICA ALIMENTACION FILTROS (V1 - V4)</t>
  </si>
  <si>
    <t>VALVULA DN50/PN16, RS-50/050-100  V6-V8</t>
  </si>
  <si>
    <t>ABRAZADERA DE ALTA PRESION (HOSE CLAMP 2064.056065)</t>
  </si>
  <si>
    <t>PLACA  FILTRO CABEZAL PRENSA FIJO REPARADA</t>
  </si>
  <si>
    <t>PLACA  FILTRO CABEZAL  PRENSA MOVIL REPARADA</t>
  </si>
  <si>
    <t>1.8.10</t>
  </si>
  <si>
    <t>1.8.11</t>
  </si>
  <si>
    <t>-</t>
  </si>
  <si>
    <t>VALVULA PINCH DE 6" REPARADA</t>
  </si>
  <si>
    <t xml:space="preserve">POLIN METALICO DE CARGA 6", , , </t>
  </si>
  <si>
    <t>Column1</t>
  </si>
  <si>
    <t>Column2</t>
  </si>
  <si>
    <t xml:space="preserve">POLIN RETORNO 6"X 44-1/2" 17, , , </t>
  </si>
  <si>
    <t xml:space="preserve">POLIN CARGA POLIETILENO UHMW, , , </t>
  </si>
  <si>
    <t xml:space="preserve">POLIN, , , </t>
  </si>
  <si>
    <t xml:space="preserve">ESTAC POLIN  RETORNO 6X36" CEMA C6, , , </t>
  </si>
  <si>
    <t xml:space="preserve">POLIN AUTOCENTRANTE DE CARGA (TRU-TRAINE, , , </t>
  </si>
  <si>
    <t xml:space="preserve">RODILLO LATERAL CONICO DE CARGA;CORREA36, ", , </t>
  </si>
  <si>
    <t xml:space="preserve">RODILLO CENTRAL METALICO DE CARGA;CORREA, 36", , </t>
  </si>
  <si>
    <t xml:space="preserve">ESTACION, , , </t>
  </si>
  <si>
    <t xml:space="preserve">RODILLO, , , </t>
  </si>
  <si>
    <t xml:space="preserve">ESTACION AUTO-CENTRANTE DE RETORNO PLANO, CORREA 36", , </t>
  </si>
  <si>
    <t xml:space="preserve">ESTAC POLIN GUIA CARGA 36X6" 35GRD C6, , , </t>
  </si>
  <si>
    <t>584,66</t>
  </si>
  <si>
    <t xml:space="preserve">BASTON CENTRADOR POLIMERO, , , </t>
  </si>
  <si>
    <t>ESTAC POLIN GUIA RETORNO 36X6" CEMA C6
REEMPLAZADO x 748010 y 743670</t>
  </si>
  <si>
    <t xml:space="preserve">ESTAC POLIN GUIA RETORNO 36X6" CEMA C6;R, EEMPLAZADO x 748010 y 743670, , </t>
  </si>
  <si>
    <t>365170,2</t>
  </si>
  <si>
    <t xml:space="preserve">PLANCHA TIVAR88 13MMX800MMX2000XMM, , , </t>
  </si>
  <si>
    <t xml:space="preserve">GUARDERA GOMA 15MMX150MMX10MTS 50 SHOREA, , , </t>
  </si>
  <si>
    <t xml:space="preserve">PARRILLA FRP, , , </t>
  </si>
  <si>
    <t xml:space="preserve">RODILLO DE IMPACTO, , , </t>
  </si>
  <si>
    <t xml:space="preserve">TUBO AIRE MEMBRANA, , , </t>
  </si>
  <si>
    <t xml:space="preserve">TUBO CON FLANGE, , , </t>
  </si>
  <si>
    <t xml:space="preserve">VALVULA RETENCION (NO REPARABLE J. T.), , , </t>
  </si>
  <si>
    <t xml:space="preserve">VALVULA CHECK, , , </t>
  </si>
  <si>
    <t xml:space="preserve">JUNTA EXPANSION 2" ANSI 150 LBS, , , </t>
  </si>
  <si>
    <t xml:space="preserve">TUBO TOP BLOW, , , </t>
  </si>
  <si>
    <t xml:space="preserve">VALVULA REDUCTORA AJU235-50, , , </t>
  </si>
  <si>
    <t xml:space="preserve">TUBO DN50 PN16 ANSI 2" 150lbs L=480, , , </t>
  </si>
  <si>
    <t xml:space="preserve">VALVULA DN 50/PN10, , , </t>
  </si>
  <si>
    <t xml:space="preserve">TUBO DN50 PN16 ANSI 2" 150lbs L=963, , , </t>
  </si>
  <si>
    <t xml:space="preserve">TUBO CON FLANGE L365, , , </t>
  </si>
  <si>
    <t xml:space="preserve">TUBO CON FLANGE L440, , , </t>
  </si>
  <si>
    <t xml:space="preserve">TUBO CON FLANGE L175, , , </t>
  </si>
  <si>
    <t xml:space="preserve">TUBO BRIDAS, , , </t>
  </si>
  <si>
    <t xml:space="preserve">ACOPLAMIENTO TUBO, , , </t>
  </si>
  <si>
    <t xml:space="preserve">ACOPLAMIENTO TUBO RACOR DN50, , , </t>
  </si>
  <si>
    <t xml:space="preserve">ABRAZADERA ACERO 3" SIN FIN AISI 304, , , </t>
  </si>
  <si>
    <t xml:space="preserve">ABRAZADERA, , , </t>
  </si>
  <si>
    <t xml:space="preserve">MANGUERA, , , </t>
  </si>
  <si>
    <t xml:space="preserve">CODO CON FLANGE, , , </t>
  </si>
  <si>
    <t xml:space="preserve">REDUCCION TOP BLOW, , , </t>
  </si>
  <si>
    <t xml:space="preserve">DUCTO 6", , , </t>
  </si>
  <si>
    <t xml:space="preserve">TUBO CON FLANGE L150, , , </t>
  </si>
  <si>
    <t xml:space="preserve">FORRO  DEGASTE ALIMENTACION FILTRO, , , </t>
  </si>
  <si>
    <t xml:space="preserve">CABLE ACERO  PLASTIFICADO 3/16", , , </t>
  </si>
  <si>
    <t xml:space="preserve">EJE LADO PRINCIPAL COMPUERTA FILTRO, , , </t>
  </si>
  <si>
    <t xml:space="preserve">EJE DE COMPUERTA FILTRO PRENSA, , , </t>
  </si>
  <si>
    <t xml:space="preserve">SOPORTE RODAMIENTO, , , </t>
  </si>
  <si>
    <t xml:space="preserve">RODAMIENTO BOLAS, , , </t>
  </si>
  <si>
    <t>9 CU</t>
  </si>
  <si>
    <t xml:space="preserve">MANGUITO FIJACION, , , </t>
  </si>
  <si>
    <t xml:space="preserve">ANILLO GUIA  FRB 125/200, , , </t>
  </si>
  <si>
    <t xml:space="preserve">CASQUILLO ETP-100/125, , , </t>
  </si>
  <si>
    <t xml:space="preserve">PALANCA MOVIMIENTO COMPUERTA FILTRO, , , </t>
  </si>
  <si>
    <t xml:space="preserve">SHAFT, , , </t>
  </si>
  <si>
    <t xml:space="preserve">CILINDRO HIDRAULICO, , , </t>
  </si>
  <si>
    <t xml:space="preserve">SOPORTE EJE INFERIOR CILINDRO HIDRAULICO, , , </t>
  </si>
  <si>
    <t xml:space="preserve">ROTULA ACERO, , , </t>
  </si>
  <si>
    <t xml:space="preserve">TAPA COMPUERTA FILTROS, , , </t>
  </si>
  <si>
    <t xml:space="preserve">EJE INFERIOR SOPORTE CILINDRO, , , </t>
  </si>
  <si>
    <t xml:space="preserve">ANILLO  V 100S, , , </t>
  </si>
  <si>
    <t xml:space="preserve">BURLETE SELLO LATERAL M1, , , </t>
  </si>
  <si>
    <t xml:space="preserve">BURLETE SELLO LATERAL M2, , , </t>
  </si>
  <si>
    <t xml:space="preserve">JUNTA EXPANSION ERFLEX 6", , , </t>
  </si>
  <si>
    <t xml:space="preserve">TUBO DN150/PN16, , , </t>
  </si>
  <si>
    <t xml:space="preserve">VALVULA BOLA CERAMICA 6", , , </t>
  </si>
  <si>
    <t xml:space="preserve">VALVULA CUCHILLO  10", , , </t>
  </si>
  <si>
    <t xml:space="preserve">MANGA GOMA NATURAL KGD10, , , </t>
  </si>
  <si>
    <t xml:space="preserve">TUBO ENTRADA, , , </t>
  </si>
  <si>
    <t xml:space="preserve">DUCTO ALIMENTACION FL005, , , </t>
  </si>
  <si>
    <t xml:space="preserve">DUCTO ALIMENTACION FL004, , , </t>
  </si>
  <si>
    <t xml:space="preserve">TUBO FILTRATE OUTLET -RPH, , , </t>
  </si>
  <si>
    <t xml:space="preserve">TUBO SALIDA FILTRADO, , , </t>
  </si>
  <si>
    <t xml:space="preserve">MANGUERA GOMA 1450 MM, , , </t>
  </si>
  <si>
    <t xml:space="preserve">ACOPLAMIENTO MANGUERA, , , </t>
  </si>
  <si>
    <t xml:space="preserve">COMPENSADOR GOMA DN 150, , , </t>
  </si>
  <si>
    <t xml:space="preserve">VALVULA DN150/PN16 RS-150/090-100, , , </t>
  </si>
  <si>
    <t xml:space="preserve">VALVULA MARIPOSA MANUAL DN50, , , </t>
  </si>
  <si>
    <t xml:space="preserve">TUBO CON FLANGE ANSI 4" 150LB, , , </t>
  </si>
  <si>
    <t xml:space="preserve">TUBO ENTRADA AIRE, , , </t>
  </si>
  <si>
    <t xml:space="preserve">VALVULA DN200/PN16, , , </t>
  </si>
  <si>
    <t xml:space="preserve">VALVULA MARIPOSA MANUAL DN200, , , </t>
  </si>
  <si>
    <t xml:space="preserve">MANGUERA DN20/PN10, , , </t>
  </si>
  <si>
    <t xml:space="preserve">HOSE CLAMP 38 SR, , , </t>
  </si>
  <si>
    <t xml:space="preserve">CONJUNTO COMPLETO TUBO TELA, , , </t>
  </si>
  <si>
    <t xml:space="preserve">PLACA FILTRANTE REPARADO, , , </t>
  </si>
  <si>
    <t xml:space="preserve">PLACA MEMBRANA, , , </t>
  </si>
  <si>
    <t xml:space="preserve">PLACA FILTRANTE ENSAMBLADA (COMPLETA), , , </t>
  </si>
  <si>
    <t xml:space="preserve">PLACA MEMBRANA ENSAMBLADA (COMPLETA), , , </t>
  </si>
  <si>
    <t xml:space="preserve">PLACA DE FILTRO CABEZAL PRENSA ASSY, , , </t>
  </si>
  <si>
    <t xml:space="preserve">CUELLO TELAS FILTROS PRENSA, , , </t>
  </si>
  <si>
    <t xml:space="preserve">TELA FILTRO POLIPROPILENO, , , </t>
  </si>
  <si>
    <t xml:space="preserve">AMARRACABLES BLANCAS LARGO 380MM, , , </t>
  </si>
  <si>
    <t>0,19</t>
  </si>
  <si>
    <t>97,22</t>
  </si>
  <si>
    <t xml:space="preserve">RUEDA REFORZADA CABEZAL REMOVIBLE, , , </t>
  </si>
  <si>
    <t xml:space="preserve">RUEDA REFORZADA CABEZAL FIJO, , , </t>
  </si>
  <si>
    <t xml:space="preserve">PROTECCION HORQUILLA CABEZAL, , , </t>
  </si>
  <si>
    <t xml:space="preserve">ANILLO SEGURO 45MMX1.75MM, , , </t>
  </si>
  <si>
    <t xml:space="preserve">SOPORTE HORQUILLA, , , </t>
  </si>
  <si>
    <t>AMORTIGUADOR NOVIBRA SAW 300B</t>
  </si>
  <si>
    <t xml:space="preserve">AMORTIGUADOR NOVIBRA SAW 300B, , , </t>
  </si>
  <si>
    <t xml:space="preserve">TENSOR TORNILLO, , , </t>
  </si>
  <si>
    <t xml:space="preserve">FUELLE PROTECTOR CILINDRO HIDRAULICO, , , </t>
  </si>
  <si>
    <t xml:space="preserve">SOPORTE ESLABON PLACA, , , </t>
  </si>
  <si>
    <t xml:space="preserve">ARANDELA ISO 7090-21-200HV/BRFB, , , </t>
  </si>
  <si>
    <t xml:space="preserve">MUNON EJE, , , </t>
  </si>
  <si>
    <t xml:space="preserve">OREJETA  ESLABON, , , </t>
  </si>
  <si>
    <t xml:space="preserve">EJE PASADOR, , , </t>
  </si>
  <si>
    <t xml:space="preserve">MANGUITO ROTULA, , , </t>
  </si>
  <si>
    <t xml:space="preserve">SOPORTE APOYO CILINDRO, , , </t>
  </si>
  <si>
    <t xml:space="preserve">CONSOLA SOPORTE CILINDRO, , , </t>
  </si>
  <si>
    <t xml:space="preserve">ESLABON, , , </t>
  </si>
  <si>
    <t xml:space="preserve">VIBRATION ABSORBER, , , </t>
  </si>
  <si>
    <t xml:space="preserve">MOTOR VIBRADOR 475W 1500RPM 50/3HZ 230V., , , </t>
  </si>
  <si>
    <t xml:space="preserve">PLACA DE CUBIERTA, , , </t>
  </si>
  <si>
    <t xml:space="preserve">COMPUESTO EPOXICO DE ALTO FRAGUADO, , , </t>
  </si>
  <si>
    <t xml:space="preserve">PASADOR, , , </t>
  </si>
  <si>
    <t xml:space="preserve">BOMBA ALTA PRESION, , , </t>
  </si>
  <si>
    <t>///</t>
  </si>
  <si>
    <t>/// SIN INFORMACION EN REPLICA ///</t>
  </si>
  <si>
    <t xml:space="preserve">FILTRO DESECHABLE  FS06C, , , </t>
  </si>
  <si>
    <t>220709,45</t>
  </si>
  <si>
    <t>30314,31</t>
  </si>
  <si>
    <t xml:space="preserve">Código Ferreteria CS 000747913, , , </t>
  </si>
  <si>
    <t xml:space="preserve">LUBRICADOR AUTOMATICO 150 GRS, , , </t>
  </si>
  <si>
    <t xml:space="preserve">MANOMETRO 2-1/2" DIAL 0-1000 PSI 1/4"NPT, OBSOLES. TECNICA LIXIVIACION, , </t>
  </si>
  <si>
    <t xml:space="preserve">MANOMETRO 2-1/2" DIAL 0-6000 PSI 1/4"NPT, , , </t>
  </si>
  <si>
    <t xml:space="preserve">BASTON INTERRUPTOR DESALINEAMIENTO, , , </t>
  </si>
  <si>
    <t xml:space="preserve">CELDA CARGA R.L. 200KN, , , </t>
  </si>
  <si>
    <t xml:space="preserve">CELDA  CARGA, , , </t>
  </si>
  <si>
    <t xml:space="preserve">CELDA CARGA, , , </t>
  </si>
  <si>
    <t>3102,51</t>
  </si>
  <si>
    <t xml:space="preserve">CELDA DE CARGA, , , </t>
  </si>
  <si>
    <t>2515,7</t>
  </si>
  <si>
    <t>1207963,67</t>
  </si>
  <si>
    <t xml:space="preserve">FLEXIBLE METALICO  REVESTIDO GRIS 1/2", , , </t>
  </si>
  <si>
    <t xml:space="preserve">FLEXIBLE METALICO  REVESTIDO GRIS 3/4", , , </t>
  </si>
  <si>
    <t xml:space="preserve">CONECTOR RECTO 3/8 X 1/4" NPT HE, , , </t>
  </si>
  <si>
    <t>CONTACTOR 135 AMP 600 VAC TAMANO 4</t>
  </si>
  <si>
    <t xml:space="preserve">CONTACTOR 135 AMP 600 VAC TAMANO 4, , , </t>
  </si>
  <si>
    <t xml:space="preserve">CONTACTOR BOBINA 110VAC 22KW, , , </t>
  </si>
  <si>
    <t>25 CU</t>
  </si>
  <si>
    <t xml:space="preserve">INTERRUPTOR DESALINEAMIENTO, , , </t>
  </si>
  <si>
    <t xml:space="preserve">VALVULA, , , </t>
  </si>
  <si>
    <t xml:space="preserve">INTERRUPTOR VELOCIDAD CERO, , , </t>
  </si>
  <si>
    <t>684074,04</t>
  </si>
  <si>
    <t xml:space="preserve">JUEGO CONTACTO CONTACTOR SIZE 4, , , </t>
  </si>
  <si>
    <t xml:space="preserve">MOTOR ELECTRICO 30HP 1500 RPM 400 V, , , </t>
  </si>
  <si>
    <t xml:space="preserve">MOTOR ELECTRICO 50HP 1500 RPM 400 V, , , </t>
  </si>
  <si>
    <t>7761,47</t>
  </si>
  <si>
    <t xml:space="preserve">MOTOR ELECTRICO 7.5 HP 1480 RPM 380 V, , , </t>
  </si>
  <si>
    <t xml:space="preserve">NIPLE HEX. LARGO MACHO BRONCE 1/2" OD, , , </t>
  </si>
  <si>
    <t>2,26</t>
  </si>
  <si>
    <t>1131,94</t>
  </si>
  <si>
    <t xml:space="preserve">PRENSA TIPO CROSBY SS450, , , </t>
  </si>
  <si>
    <t xml:space="preserve">INTERRUPTOR PARADA EMERG 400V 6A 300VAC, , , </t>
  </si>
  <si>
    <t>259630,06</t>
  </si>
  <si>
    <t xml:space="preserve">INTERRUPTOR PARO EMERGENCIA C10,PULLCORD, , , </t>
  </si>
  <si>
    <t xml:space="preserve">RELE CONTROL SALIDA 24 VDC, , , </t>
  </si>
  <si>
    <t xml:space="preserve">SENSOR ATOLLO 1,77V RMS 250 VP 44.2 M A, , , </t>
  </si>
  <si>
    <t>888493,75</t>
  </si>
  <si>
    <t xml:space="preserve">SENSOR INDUCTIVO M30, , , </t>
  </si>
  <si>
    <t xml:space="preserve">SENSOR VELOCIDAD CERO 24 VDC 50 M A, , , </t>
  </si>
  <si>
    <t xml:space="preserve">SWITCH DE PRESIÓN, , , </t>
  </si>
  <si>
    <t xml:space="preserve">TRASMISOR NIVEL MULTIRANGE 100, 1 RELAY, , , </t>
  </si>
  <si>
    <t>693495,2</t>
  </si>
  <si>
    <t>638,55</t>
  </si>
  <si>
    <t xml:space="preserve">TRANSMISOR DE PESAJE 4-20MA, , , </t>
  </si>
  <si>
    <t xml:space="preserve">TUBING PLASTICO 1/2, , , </t>
  </si>
  <si>
    <t xml:space="preserve">TUBING PLASTICO 3/8, , , </t>
  </si>
  <si>
    <t xml:space="preserve">VALVULA DE CORTE, CONEXION 1/2", , , </t>
  </si>
  <si>
    <t>PASADOR(chaveta)</t>
  </si>
  <si>
    <t>VALVULA PINCH DE 6" NUEVA</t>
  </si>
  <si>
    <t xml:space="preserve">EMPAQUETADURA DE TEFLON 1/8"X60"X60" </t>
  </si>
  <si>
    <t>OREJETAS DE ESLABON (LARGA)ESLABON GUIA</t>
  </si>
  <si>
    <t>VALVULA CERAMICA ALIMENTACION FILTROS (V1 - V4) reparada</t>
  </si>
  <si>
    <t>CUERPO VÁLVULA BOLA 6"</t>
  </si>
  <si>
    <t>´valvula mariposa 2"</t>
  </si>
  <si>
    <t>BASE PLACA SENSORES</t>
  </si>
  <si>
    <t>GUARDA MOTOR 0.63-1 AMP</t>
  </si>
  <si>
    <t>INTERRUPTOR FUERZA 500V 16 AMP</t>
  </si>
  <si>
    <t xml:space="preserve">REPUESTOS ELECTRICOS FEEDER FILTROS </t>
  </si>
  <si>
    <t>1.1.43</t>
  </si>
  <si>
    <t>1.1.44</t>
  </si>
  <si>
    <t>1.1.45</t>
  </si>
  <si>
    <t>1.1.46</t>
  </si>
  <si>
    <t>1.1.47</t>
  </si>
  <si>
    <t>1.1.48</t>
  </si>
  <si>
    <t>1.1.49</t>
  </si>
  <si>
    <t>1.1.50</t>
  </si>
  <si>
    <t>1.1.51</t>
  </si>
  <si>
    <t>1.1.52</t>
  </si>
  <si>
    <t>1.1.53</t>
  </si>
  <si>
    <t>1.1.54</t>
  </si>
  <si>
    <t>BALIZA ESTROBOSCOPICA ROJO 110V</t>
  </si>
  <si>
    <t>1.1.55</t>
  </si>
  <si>
    <t>BOCINA PROYECTOR DOBLE 120VCA BLOQ.PROCESO.OBSO2014 24 MESES SIN MOV</t>
  </si>
  <si>
    <t>1.1.56</t>
  </si>
  <si>
    <t>RELOJ HORARIO DIGITAL</t>
  </si>
  <si>
    <t>1.1.57</t>
  </si>
  <si>
    <t>BALIZA ALARMA</t>
  </si>
  <si>
    <t>1.1.58</t>
  </si>
  <si>
    <t>1.1.59</t>
  </si>
  <si>
    <t>MATRIZ DE REPUESTOS LUBRICACION.</t>
  </si>
  <si>
    <t>MANOMETRO PRESION 0-400 BAR</t>
  </si>
  <si>
    <t>MANOMETRO PRESION 0-60 BAR</t>
  </si>
  <si>
    <t>MINI LUBER MODEL 125CC</t>
  </si>
  <si>
    <t>1.0.14</t>
  </si>
  <si>
    <t>1.0.16</t>
  </si>
  <si>
    <t>1.0.20</t>
  </si>
  <si>
    <t>Mobil SHC 632</t>
  </si>
  <si>
    <t>H. Guerra</t>
  </si>
  <si>
    <t xml:space="preserve">No contar con todos los repuestos para ejecutar mantención. </t>
  </si>
  <si>
    <t>Se fortalece la solicitud y seguimiento de repuestos de manera anticipada. (2 meses).</t>
  </si>
  <si>
    <t>Rotación de personal transversal. (Personal no cuenta con inducción Puerto – Tarjetas de bloqueo)</t>
  </si>
  <si>
    <t>Se solicita nomina de personal transversal con anticipación cargos y pases.</t>
  </si>
  <si>
    <t>Preparativos deficientes.</t>
  </si>
  <si>
    <t>En la planificación se prioriza y aumentan tiempos de preparativos en semanas anteriores</t>
  </si>
  <si>
    <t>Desviación de personal periférico a actividades de contingencia.</t>
  </si>
  <si>
    <t>Se contempla cuadrilla de trabajo en personal de periferia.</t>
  </si>
  <si>
    <t>H. Pizarro</t>
  </si>
  <si>
    <t>Evaluar condiciones de terreno durante preparativos, ya que no se consideró el estado de calaminas colgando del techo, de las cuales caen el primer día de mantención al 4to nivel de filtrado, Se realiza acción correctiva de la instalación de malla por parte de TodoAcero</t>
  </si>
  <si>
    <t>jefe area</t>
  </si>
  <si>
    <t>Se debe realizar por parte linea operativa la evaluación y condicion del area a ejecutar mantención por interferencias.</t>
  </si>
  <si>
    <t>No se encuentra disponible la totalidad de los repuestos para el mantenimiento</t>
  </si>
  <si>
    <t>Planificación Cmdic</t>
  </si>
  <si>
    <t>Depende de abastecimiento Cmdic, la llegada de repuestos comprometidos a mantención</t>
  </si>
  <si>
    <t>no se encuentran disponibles los pernos para cambio de amortiguadores</t>
  </si>
  <si>
    <t>Se debe validar en los preparativos que se cuente con ellos al momento de comenzar mantención.</t>
  </si>
  <si>
    <t>no se cuenta con placa madre cabezal movil en terreno</t>
  </si>
  <si>
    <t>operaciones no realiza lavado de equipo con hidrolavadora para entrega a Mantencion</t>
  </si>
  <si>
    <t>Se debe dejar por correo la solicitud a operaciones Cmdic</t>
  </si>
  <si>
    <t>F. Sanchez</t>
  </si>
  <si>
    <t>portatelas de acero carbono se reciben mal armados se debe modificar perno separador</t>
  </si>
  <si>
    <t>considerar pintura en preparativos para realizar pintado de cilindros y barandas</t>
  </si>
  <si>
    <t>Se debe solicitar en los preparativos estos insumos a utilizar en mantención</t>
  </si>
  <si>
    <t>G. Muñoz</t>
  </si>
  <si>
    <t>Filtros de UH no corresponden a la Unidad.</t>
  </si>
  <si>
    <t>Programar levantamiento de los filtros de Uh correspondiente a los 5 filtros, comprar repuesto que corresponden.</t>
  </si>
  <si>
    <t>Falta de HH PPlub para ejecutar todos los trabajos programados</t>
  </si>
  <si>
    <t>se debe reevaluar los tiempos asignados a cada actividad. Pará que la ejecución sea en tiempo real y con los repuestos correspondientes.</t>
  </si>
  <si>
    <t>No se tiene la totalidad de repuestos y materiales correspondientes, aún cuando llegaron los materiales estos son domiciliarios y no de uso industrial</t>
  </si>
  <si>
    <t>Programación / Solicitante</t>
  </si>
  <si>
    <t>Se debe realizar solicitud especifica y seguimiento con personal de ferreteria de los materiales a utilizar</t>
  </si>
  <si>
    <t>Serviall no trae los repuestos solicitados</t>
  </si>
  <si>
    <t xml:space="preserve">Se debe instruir a empresa colaboradora en traer materiales que se piden con las características y especificaciones correspondientes. </t>
  </si>
  <si>
    <t>Se debe programar y dejar en tareas de Mantencion semanal levantamiento de focos críticos para corrección en la semestral. Con sus débidos componentes y materiales asociados.</t>
  </si>
  <si>
    <t>Programación / Jefe area</t>
  </si>
  <si>
    <t xml:space="preserve">Se deben realizar en semana anterior a mantención para levantarlo para la incorporación durante la mantención </t>
  </si>
  <si>
    <t>Se debe formalizar una reunión de focos críticos para la semestral, con al menos 1 mes de anticipación antes de la semestral y con ambos turno, para levantamiento de focos críticos, plan de acción para reaccionar a tiempo en la compra de materiales, insumos, etc.</t>
  </si>
  <si>
    <t>Se deben realizar con anterioridad a mantención para levantarlo para la incorporación durante la mantención, con sus repuestos asociados.</t>
  </si>
  <si>
    <t xml:space="preserve">Gestionar compra de spray acero galvanizado para asegurar componentes como, riels unistrut, abrazaderas ruc, tbs, etc, hasta la siguiente semestral. </t>
  </si>
  <si>
    <t>Responzable de la ejecución debe realizar solicitud especifica de material requerido para solicitar insumo.</t>
  </si>
  <si>
    <t>Se debe comprar o mandar a fabricar tapas de ventiladores de los motores alta y baja. Estos ya se encuentran en mal estado.</t>
  </si>
  <si>
    <t xml:space="preserve">este componente debe ser considerado como foco crítico. Aún siendo reparado da mal aspecto por las modificaciones y reparaciones  que ya se han hecho. Se debe realizar levantamiento con medidas correspondientes y frames asociados para la compra. </t>
  </si>
  <si>
    <t>en preparativos se debe considerar trasladar tambor de aceite para UH, y dejar en el punto exacto.</t>
  </si>
  <si>
    <t>trasladar tambor de aceite para UH, y dejar en el punto exacto.</t>
  </si>
  <si>
    <t>PORTATELAS ACERO CARBONO</t>
  </si>
  <si>
    <t>PORTATELAS ACERO INOXIDABLE</t>
  </si>
  <si>
    <t>1.8.12</t>
  </si>
  <si>
    <t>1.8.13</t>
  </si>
  <si>
    <t>PASADOR  SOPORTE; SOPORTE ESLABON PLACA</t>
  </si>
  <si>
    <t>1.3.12</t>
  </si>
  <si>
    <t>1.3.13</t>
  </si>
  <si>
    <t>1.3.14</t>
  </si>
  <si>
    <t>VALVULA DN50/PN16</t>
  </si>
  <si>
    <t xml:space="preserve">VALVULA DN50/PN16, , , </t>
  </si>
  <si>
    <t>12150,62</t>
  </si>
  <si>
    <t>10085014,6</t>
  </si>
  <si>
    <t>HYDRAULCI HOSE, 1014-20</t>
  </si>
  <si>
    <t xml:space="preserve">HYDRAULCI HOSE, 1014-20, , , </t>
  </si>
  <si>
    <t>HYDRAULCI HOSE, 720-08</t>
  </si>
  <si>
    <t xml:space="preserve">HYDRAULCI HOSE, 720-08, , , </t>
  </si>
  <si>
    <t>28494,79</t>
  </si>
  <si>
    <t>CAMPANA INDUSTRIAL LED DE 200 W, CUERPO DE ALUMINIO ADC12, 165LM/W</t>
  </si>
  <si>
    <t xml:space="preserve">CAMPANA INDUSTRIAL LED DE 200 W, CUERPO, DE ALUMINIO ADC12, 165LM/W, , </t>
  </si>
  <si>
    <t>TRANSMISOR SENSOR ATOLLO</t>
  </si>
  <si>
    <t xml:space="preserve">TRANSMISOR SENSOR ATOLLO, , , </t>
  </si>
  <si>
    <t>2416,25</t>
  </si>
  <si>
    <t>VALVULA PINCH</t>
  </si>
  <si>
    <t xml:space="preserve">VALVULA PINCH, , , </t>
  </si>
  <si>
    <t>SELLO CUELLO(PLACA MADRE)</t>
  </si>
  <si>
    <t>SELLO SALIDA AGUA(PLACA MADRE)</t>
  </si>
  <si>
    <t>SELLO ENTRADA AIRE(PLACA MADRE)</t>
  </si>
  <si>
    <t>SELLO SALIDA DE AIRE(PLACA MADRE)</t>
  </si>
  <si>
    <t>CAÑERIA CON BRIDAS(top blow)</t>
  </si>
  <si>
    <t>310FL00X</t>
  </si>
  <si>
    <t>62 CU</t>
  </si>
  <si>
    <t>223 CU</t>
  </si>
  <si>
    <t>66282,5</t>
  </si>
  <si>
    <t>13 CU</t>
  </si>
  <si>
    <t>BUJE UNION 
USADO ENTRE LA HORQUILLA Y EL SOPORTE</t>
  </si>
  <si>
    <t xml:space="preserve">BUJE UNION;USADO ENTRE LA HORQUILLA Y EL, SOPORTE, , </t>
  </si>
  <si>
    <t>6104376,5</t>
  </si>
  <si>
    <t>1416605,8</t>
  </si>
  <si>
    <t>3201,6</t>
  </si>
  <si>
    <t>INTERRUPTOR, MODELO PCD-4S, CON 2 BANDERAS</t>
  </si>
  <si>
    <t xml:space="preserve">INTERRUPTOR, MODELO PCD-4S, CON 2 BANDER, AS, , </t>
  </si>
  <si>
    <t>PORTAFILTRO</t>
  </si>
  <si>
    <t>ACOPLAMIENTO DE EJE</t>
  </si>
  <si>
    <t>ACOPLAMIENTO  BOMBA BAJA PRESIÓN(machon)</t>
  </si>
  <si>
    <t>CUANDO HAY CAMBIO DE ACEITE SOLICITAR 4</t>
  </si>
  <si>
    <t>SOLICITAR A FERRETERIA</t>
  </si>
  <si>
    <t>PULLCORD</t>
  </si>
  <si>
    <t>ELECTROVALVULA SIMPLE EFECTO (TABLERO NEUMATICO PLANTA FILTRADO)</t>
  </si>
  <si>
    <t xml:space="preserve">CELDA DE CARGA </t>
  </si>
  <si>
    <t>UNIDAD FILTRO REGULADOR LUBRICADOR C/ MANOMETRO 3/8"</t>
  </si>
  <si>
    <t>UNIDAD FILTRO REGULADOR LUBRICADOR C/ MANOMETRO 1/2"</t>
  </si>
  <si>
    <t>VALVULA DE CORTE 1/2"</t>
  </si>
  <si>
    <t>CONTACTOR LC1-D50F7 BOBINA 110VAC 22KW</t>
  </si>
  <si>
    <t>SENSOR DESALINEAMIENTO FILTRO</t>
  </si>
  <si>
    <t>SWITCH DE PRESION UNIDAD HIDRAULICA (Filtro 4 y 5)</t>
  </si>
  <si>
    <t>CONECTOR ;CONECTOR RECTO 3/8 X 1/4" NPT</t>
  </si>
  <si>
    <t>SAFETY SWITCH MOTOVIBRADOR</t>
  </si>
  <si>
    <t>INTERRUPTOR DE SEGURIDAD BBA ALTA</t>
  </si>
  <si>
    <t xml:space="preserve">CONTACTOR MOTOVIBRADOR </t>
  </si>
  <si>
    <t>MANOMETRO 2" DIAL 0-160 PSI 1</t>
  </si>
  <si>
    <t>PIOLA DE PULL CORD</t>
  </si>
  <si>
    <t>INTERRUPTOR DE SEGURIDAD OTP90T3M BBA BAJA</t>
  </si>
  <si>
    <t>BASE PLACA SENSORES APERTURA / CIERRE</t>
  </si>
  <si>
    <t>BASE SOPORTE SENSOR COMPUERTA</t>
  </si>
  <si>
    <t xml:space="preserve">CAJA SUMADORA </t>
  </si>
  <si>
    <t>VALVULA 10/070-120 DN50/PN V10</t>
  </si>
  <si>
    <t xml:space="preserve">VALVULA 10/070-120 DN50/PN V10, , , </t>
  </si>
  <si>
    <t>78928,9</t>
  </si>
  <si>
    <t>EMPAQUETADURA</t>
  </si>
  <si>
    <t>EMPAQUETADURA GOMA 6"</t>
  </si>
  <si>
    <t xml:space="preserve">EMPAQUETADURA GOMA 6", , , </t>
  </si>
  <si>
    <t>51,41</t>
  </si>
  <si>
    <t>149115,5</t>
  </si>
  <si>
    <t>29,08</t>
  </si>
  <si>
    <t xml:space="preserve">FILTRO DE VENTILACION, , , </t>
  </si>
  <si>
    <t>144,44</t>
  </si>
  <si>
    <t>348009,8</t>
  </si>
  <si>
    <t>UNIDAD</t>
  </si>
  <si>
    <t>UNIDAD FILTRO REGULADOR</t>
  </si>
  <si>
    <t xml:space="preserve">UNIDAD FILTRO REGULADOR, , , </t>
  </si>
  <si>
    <t>123,52</t>
  </si>
  <si>
    <t xml:space="preserve">INTERRUPTOR FUERZA 500V 16 AMP, , , </t>
  </si>
  <si>
    <t>INTERRUPTOR SEGURIDAD</t>
  </si>
  <si>
    <t xml:space="preserve">INTERRUPTOR SEGURIDAD, , , </t>
  </si>
  <si>
    <t xml:space="preserve">CONTACTOR, , , </t>
  </si>
  <si>
    <t>GUARDA MOTOR</t>
  </si>
  <si>
    <t xml:space="preserve">GUARDA MOTOR 0.63-1 AMP, , , </t>
  </si>
  <si>
    <t>INTERRUPTOR DE SEGURIDAD OTP90T3M 24 meses sin movimiento a clase 5 PF-53</t>
  </si>
  <si>
    <t xml:space="preserve">INTERRUPTOR DE SEGURIDAD OTP90T3M 24 mes, es sin movimiento a clase 5 PF-53, , </t>
  </si>
  <si>
    <t>BASE</t>
  </si>
  <si>
    <t xml:space="preserve">BASE PLACA SENSORES, , , </t>
  </si>
  <si>
    <t>BASE SOPORTE SENSOR</t>
  </si>
  <si>
    <t xml:space="preserve">BASE SOPORTE SENSOR, , , </t>
  </si>
  <si>
    <t>CAJA</t>
  </si>
  <si>
    <t>CAJA SUMADORA FILTRO PRENSA</t>
  </si>
  <si>
    <t xml:space="preserve">CAJA SUMADORA FILTRO PRENSA, , , </t>
  </si>
  <si>
    <t>MANOMETRO PRESION 0 A 400 BAR</t>
  </si>
  <si>
    <t xml:space="preserve">MANOMETRO PRESION 0 A 400 BAR, , , </t>
  </si>
  <si>
    <t>MANOMETRO PRESION 0 A 60 BAR</t>
  </si>
  <si>
    <t xml:space="preserve">MANOMETRO PRESION 0 A 60 BAR, , , </t>
  </si>
  <si>
    <t>MINI-LUBER</t>
  </si>
  <si>
    <t xml:space="preserve">MINI LUBER MODEL 125CC, , , </t>
  </si>
  <si>
    <t>FILTRO PRENSA</t>
  </si>
  <si>
    <t xml:space="preserve">FILTRO PRENSA, , , </t>
  </si>
  <si>
    <t>725378,26</t>
  </si>
  <si>
    <t>0 BL</t>
  </si>
  <si>
    <t>ACEITE</t>
  </si>
  <si>
    <t>MOBIL SHC 632, ENVASE 19 LITROS</t>
  </si>
  <si>
    <t xml:space="preserve">MOBIL SHC 632, ENVASE 19 LITROS, , , </t>
  </si>
  <si>
    <t>LAINAS CILINDROS</t>
  </si>
  <si>
    <t>84 CU</t>
  </si>
  <si>
    <t>339174,05</t>
  </si>
  <si>
    <t>24 CU</t>
  </si>
  <si>
    <t>7299,46</t>
  </si>
  <si>
    <t>22 CU</t>
  </si>
  <si>
    <t>0 RL</t>
  </si>
  <si>
    <t>1444,07</t>
  </si>
  <si>
    <t>608371,88</t>
  </si>
  <si>
    <t>34 CU</t>
  </si>
  <si>
    <t>1016998,4</t>
  </si>
  <si>
    <t>28 CU</t>
  </si>
  <si>
    <t>68240,9</t>
  </si>
  <si>
    <t>1594,5</t>
  </si>
  <si>
    <t>56 CU</t>
  </si>
  <si>
    <t>2623458,1</t>
  </si>
  <si>
    <t>68 CU</t>
  </si>
  <si>
    <t>63 CU</t>
  </si>
  <si>
    <t>1380 CU</t>
  </si>
  <si>
    <t>1240928,61</t>
  </si>
  <si>
    <t>6586,72</t>
  </si>
  <si>
    <t>2553,89</t>
  </si>
  <si>
    <t>2378740,41</t>
  </si>
  <si>
    <t>182890,62</t>
  </si>
  <si>
    <t>MANOMETRO 2" DIAL 0-160 PSI 1/4" NPT</t>
  </si>
  <si>
    <t xml:space="preserve">MANOMETRO 2" DIAL 0-160 PSI 1/4" NPT, , , </t>
  </si>
  <si>
    <t>78 CU</t>
  </si>
  <si>
    <t>82 CU</t>
  </si>
  <si>
    <t>4103563,4</t>
  </si>
  <si>
    <t>39 CU</t>
  </si>
  <si>
    <t>MANOMETRO 2-1/2"DIAL 0-200 PSI 1/4" NPT</t>
  </si>
  <si>
    <t xml:space="preserve">MANOMETRO 2-1/2"DIAL 0-200 PSI 1/4" NPT, , , </t>
  </si>
  <si>
    <t>114 CU</t>
  </si>
  <si>
    <t>2563 MT</t>
  </si>
  <si>
    <t>9 JG</t>
  </si>
  <si>
    <t>1463,49</t>
  </si>
  <si>
    <t>30 CU</t>
  </si>
  <si>
    <t>1501610,24</t>
  </si>
  <si>
    <t>180233,69</t>
  </si>
  <si>
    <t>14153,74</t>
  </si>
  <si>
    <t>7230488,29</t>
  </si>
  <si>
    <t>245 CU</t>
  </si>
  <si>
    <t>570 CU</t>
  </si>
  <si>
    <t>156 CU</t>
  </si>
  <si>
    <t>19 CU</t>
  </si>
  <si>
    <t>237 CU</t>
  </si>
  <si>
    <t>1954 CU</t>
  </si>
  <si>
    <t>1770 CU</t>
  </si>
  <si>
    <t>152 CU</t>
  </si>
  <si>
    <t>139657,84</t>
  </si>
  <si>
    <t>41 CU</t>
  </si>
  <si>
    <t>38 CU</t>
  </si>
  <si>
    <t>2134,74</t>
  </si>
  <si>
    <t>2025612,09</t>
  </si>
  <si>
    <t>119 CU</t>
  </si>
  <si>
    <t>26223,73</t>
  </si>
  <si>
    <t>CAÑERIA CON BRIDAS(CODO)</t>
  </si>
  <si>
    <t>FILTRO RESPIRADERO SILICA GEL</t>
  </si>
  <si>
    <t>TELAS PRE ARMADAS</t>
  </si>
  <si>
    <t>CORREA 3VX710 (CORREA FEEDER)</t>
  </si>
  <si>
    <t>CAÑERIA CON BRIDAS (carrete corto)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</si>
</sst>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dd/mm/aaaa"/>
    <numFmt numFmtId="165" formatCode="0.0"/>
    <numFmt numFmtId="166" formatCode="dd/mm/yy;@"/>
    <numFmt numFmtId="167" formatCode="[$-F800]dddd\,\ mmmm\ dd\,\ yyyy"/>
    <numFmt numFmtId="168" formatCode="&quot;Total&quot;\ 0"/>
  </numFmts>
  <fonts count="5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color rgb="FF3F3F76"/>
      <name val="Calibri"/>
      <family val="2"/>
      <scheme val="minor"/>
    </font>
    <font>
      <sz val="9"/>
      <color indexed="81"/>
      <name val="Tahoma"/>
      <family val="2"/>
    </font>
    <font>
      <b/>
      <sz val="9"/>
      <color indexed="81"/>
      <name val="Tahoma"/>
      <family val="2"/>
    </font>
    <font>
      <b/>
      <sz val="12"/>
      <color rgb="FF000000"/>
      <name val="Century Gothic"/>
      <family val="2"/>
    </font>
    <font>
      <sz val="11"/>
      <color indexed="8"/>
      <name val="Calibri"/>
      <family val="2"/>
    </font>
    <font>
      <b/>
      <sz val="12"/>
      <name val="Century Gothic"/>
      <family val="2"/>
    </font>
    <font>
      <b/>
      <sz val="12"/>
      <color rgb="FFFFFFFF"/>
      <name val="Century Gothic"/>
      <family val="2"/>
    </font>
    <font>
      <b/>
      <sz val="12"/>
      <name val="Webdings"/>
      <family val="1"/>
      <charset val="2"/>
    </font>
    <font>
      <sz val="10"/>
      <name val="Arial"/>
      <family val="2"/>
    </font>
    <font>
      <u/>
      <sz val="11"/>
      <color theme="10"/>
      <name val="Calibri Light"/>
      <family val="2"/>
      <scheme val="major"/>
    </font>
    <font>
      <b/>
      <sz val="12"/>
      <color rgb="FF000000"/>
      <name val="Arial"/>
      <family val="2"/>
    </font>
    <font>
      <b/>
      <sz val="12"/>
      <name val="Arial"/>
      <family val="2"/>
    </font>
    <font>
      <sz val="12"/>
      <color rgb="FFFFFFFF"/>
      <name val="Century Gothic"/>
      <family val="2"/>
    </font>
    <font>
      <sz val="12"/>
      <color theme="1" tint="0.24994659260841701"/>
      <name val="Corbel"/>
      <family val="2"/>
    </font>
    <font>
      <sz val="12"/>
      <color rgb="FF000000"/>
      <name val="Century Gothic"/>
      <family val="2"/>
    </font>
    <font>
      <sz val="12"/>
      <color rgb="FF000000"/>
      <name val="Arial"/>
      <family val="2"/>
    </font>
    <font>
      <b/>
      <sz val="12"/>
      <color indexed="8"/>
      <name val="Arial"/>
      <family val="2"/>
    </font>
    <font>
      <b/>
      <sz val="12"/>
      <color rgb="FFA03912"/>
      <name val="Arial"/>
      <family val="2"/>
    </font>
    <font>
      <sz val="12"/>
      <name val="Arial"/>
      <family val="2"/>
    </font>
    <font>
      <sz val="12"/>
      <color indexed="8"/>
      <name val="Calibri"/>
      <family val="2"/>
      <scheme val="minor"/>
    </font>
    <font>
      <sz val="12"/>
      <name val="Calibri"/>
      <family val="2"/>
      <scheme val="minor"/>
    </font>
    <font>
      <sz val="12"/>
      <color theme="7" tint="0.79998168889431442"/>
      <name val="Arial"/>
      <family val="2"/>
    </font>
    <font>
      <sz val="12"/>
      <color indexed="8"/>
      <name val="Arial"/>
      <family val="2"/>
    </font>
    <font>
      <sz val="12"/>
      <color theme="1"/>
      <name val="Calibri"/>
      <family val="2"/>
      <scheme val="minor"/>
    </font>
    <font>
      <b/>
      <sz val="12"/>
      <color theme="8" tint="-0.249977111117893"/>
      <name val="Arial"/>
      <family val="2"/>
    </font>
    <font>
      <sz val="12"/>
      <color theme="1"/>
      <name val="Arial"/>
      <family val="2"/>
    </font>
    <font>
      <u/>
      <sz val="12"/>
      <color theme="10"/>
      <name val="Arial"/>
      <family val="2"/>
    </font>
    <font>
      <b/>
      <sz val="12"/>
      <color rgb="FF000000"/>
      <name val="Calibri"/>
      <family val="2"/>
    </font>
    <font>
      <b/>
      <sz val="11"/>
      <color theme="0"/>
      <name val="Calibri"/>
      <family val="2"/>
      <scheme val="minor"/>
    </font>
    <font>
      <b/>
      <sz val="11"/>
      <color theme="1"/>
      <name val="Calibri"/>
      <family val="2"/>
      <scheme val="minor"/>
    </font>
    <font>
      <sz val="11"/>
      <color theme="0"/>
      <name val="Calibri"/>
      <family val="2"/>
      <scheme val="minor"/>
    </font>
    <font>
      <sz val="26"/>
      <color theme="0"/>
      <name val="Calibri"/>
      <family val="2"/>
      <scheme val="minor"/>
    </font>
    <font>
      <b/>
      <sz val="12"/>
      <color theme="0"/>
      <name val="Calibri"/>
      <family val="2"/>
      <scheme val="minor"/>
    </font>
    <font>
      <b/>
      <sz val="14"/>
      <color theme="0"/>
      <name val="Calibri"/>
      <family val="2"/>
      <scheme val="minor"/>
    </font>
    <font>
      <b/>
      <sz val="14"/>
      <color theme="1"/>
      <name val="Calibri"/>
      <family val="2"/>
      <scheme val="minor"/>
    </font>
    <font>
      <b/>
      <sz val="14"/>
      <color theme="8" tint="-0.499984740745262"/>
      <name val="Calibri"/>
      <family val="2"/>
      <scheme val="minor"/>
    </font>
    <font>
      <sz val="11"/>
      <color rgb="FF000000"/>
      <name val="Arial"/>
      <family val="2"/>
    </font>
    <font>
      <sz val="11"/>
      <name val="Arial"/>
      <family val="2"/>
    </font>
    <font>
      <sz val="11"/>
      <color indexed="8"/>
      <name val="Calibri"/>
      <family val="2"/>
      <scheme val="minor"/>
    </font>
    <font>
      <sz val="11"/>
      <name val="Calibri"/>
      <family val="2"/>
      <scheme val="minor"/>
    </font>
    <font>
      <sz val="11"/>
      <color theme="7" tint="0.79998168889431442"/>
      <name val="Arial"/>
      <family val="2"/>
    </font>
    <font>
      <b/>
      <sz val="11"/>
      <color rgb="FFA03912"/>
      <name val="Arial"/>
      <family val="2"/>
    </font>
    <font>
      <sz val="10"/>
      <color theme="0"/>
      <name val="Calibri"/>
      <family val="2"/>
      <scheme val="minor"/>
    </font>
    <font>
      <sz val="12"/>
      <color theme="0"/>
      <name val="Arial"/>
      <family val="2"/>
    </font>
    <font>
      <sz val="12"/>
      <color theme="0"/>
      <name val="Calibri"/>
      <family val="2"/>
      <scheme val="minor"/>
    </font>
    <font>
      <b/>
      <sz val="12"/>
      <name val="Calibri"/>
      <family val="2"/>
      <scheme val="minor"/>
    </font>
    <font>
      <b/>
      <sz val="12"/>
      <color theme="0"/>
      <name val="Arial"/>
      <family val="2"/>
    </font>
    <font>
      <sz val="8"/>
      <name val="Calibri"/>
      <family val="2"/>
    </font>
    <font>
      <b/>
      <sz val="12"/>
      <color theme="1"/>
      <name val="Calibri"/>
      <family val="2"/>
      <scheme val="minor"/>
    </font>
    <font>
      <sz val="10"/>
      <color theme="1" tint="0.24994659260841701"/>
      <name val="Arial"/>
      <family val="2"/>
    </font>
    <font>
      <sz val="11"/>
      <name val="Calibri"/>
      <family val="2"/>
    </font>
  </fonts>
  <fills count="26">
    <fill>
      <patternFill patternType="none"/>
    </fill>
    <fill>
      <patternFill patternType="gray125"/>
    </fill>
    <fill>
      <patternFill patternType="solid">
        <fgColor rgb="FFFFCC99"/>
      </patternFill>
    </fill>
    <fill>
      <patternFill patternType="solid">
        <fgColor theme="9" tint="0.39997558519241921"/>
        <bgColor indexed="64"/>
      </patternFill>
    </fill>
    <fill>
      <patternFill patternType="solid">
        <fgColor theme="7" tint="0.79998168889431442"/>
        <bgColor indexed="64"/>
      </patternFill>
    </fill>
    <fill>
      <patternFill patternType="solid">
        <fgColor theme="9"/>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bgColor indexed="64"/>
      </patternFill>
    </fill>
    <fill>
      <patternFill patternType="solid">
        <fgColor indexed="9"/>
        <bgColor indexed="64"/>
      </patternFill>
    </fill>
    <fill>
      <patternFill patternType="solid">
        <fgColor theme="7" tint="0.79998168889431442"/>
        <bgColor rgb="FF000000"/>
      </patternFill>
    </fill>
    <fill>
      <patternFill patternType="solid">
        <fgColor theme="0"/>
        <bgColor rgb="FF000000"/>
      </patternFill>
    </fill>
    <fill>
      <patternFill patternType="solid">
        <fgColor rgb="FFFFC000"/>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rgb="FF009999"/>
        <bgColor indexed="64"/>
      </patternFill>
    </fill>
    <fill>
      <patternFill patternType="solid">
        <fgColor theme="1"/>
        <bgColor indexed="64"/>
      </patternFill>
    </fill>
    <fill>
      <patternFill patternType="solid">
        <fgColor theme="3"/>
        <bgColor indexed="64"/>
      </patternFill>
    </fill>
    <fill>
      <patternFill patternType="solid">
        <fgColor theme="3" tint="-0.249977111117893"/>
        <bgColor indexed="64"/>
      </patternFill>
    </fill>
    <fill>
      <patternFill patternType="solid">
        <fgColor rgb="FF30BAAD"/>
        <bgColor indexed="64"/>
      </patternFill>
    </fill>
    <fill>
      <patternFill patternType="solid">
        <fgColor theme="0" tint="-0.34998626667073579"/>
        <bgColor indexed="64"/>
      </patternFill>
    </fill>
    <fill>
      <patternFill patternType="solid">
        <fgColor theme="0" tint="-0.34998626667073579"/>
        <bgColor rgb="FF000000"/>
      </patternFill>
    </fill>
    <fill>
      <patternFill patternType="solid">
        <fgColor rgb="FFFFFF00"/>
        <bgColor indexed="64"/>
      </patternFill>
    </fill>
    <fill>
      <patternFill patternType="solid">
        <fgColor theme="0" tint="-0.499984740745262"/>
        <bgColor indexed="64"/>
      </patternFill>
    </fill>
    <fill>
      <patternFill patternType="solid">
        <fgColor rgb="FF52ACAE"/>
        <bgColor indexed="64"/>
      </patternFill>
    </fill>
    <fill>
      <patternFill patternType="solid">
        <fgColor rgb="FFD9E2F3"/>
        <bgColor rgb="FFD9E2F3"/>
      </patternFill>
    </fill>
  </fills>
  <borders count="39">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rgb="FF009999"/>
      </left>
      <right/>
      <top style="thick">
        <color rgb="FF009999"/>
      </top>
      <bottom/>
      <diagonal/>
    </border>
    <border>
      <left/>
      <right style="thick">
        <color rgb="FF009999"/>
      </right>
      <top style="thick">
        <color rgb="FF009999"/>
      </top>
      <bottom/>
      <diagonal/>
    </border>
    <border>
      <left/>
      <right/>
      <top style="thick">
        <color rgb="FF009999"/>
      </top>
      <bottom/>
      <diagonal/>
    </border>
    <border>
      <left style="thick">
        <color rgb="FF009999"/>
      </left>
      <right/>
      <top/>
      <bottom/>
      <diagonal/>
    </border>
    <border>
      <left/>
      <right style="thick">
        <color rgb="FF009999"/>
      </right>
      <top/>
      <bottom/>
      <diagonal/>
    </border>
    <border>
      <left style="thick">
        <color rgb="FF009999"/>
      </left>
      <right/>
      <top/>
      <bottom style="thick">
        <color rgb="FF009999"/>
      </bottom>
      <diagonal/>
    </border>
    <border>
      <left/>
      <right style="thick">
        <color rgb="FF009999"/>
      </right>
      <top/>
      <bottom style="thick">
        <color rgb="FF009999"/>
      </bottom>
      <diagonal/>
    </border>
    <border>
      <left/>
      <right/>
      <top/>
      <bottom style="thick">
        <color rgb="FF009999"/>
      </bottom>
      <diagonal/>
    </border>
    <border>
      <left style="medium">
        <color theme="0"/>
      </left>
      <right/>
      <top/>
      <bottom/>
      <diagonal/>
    </border>
    <border>
      <left/>
      <right style="medium">
        <color theme="0"/>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indexed="64"/>
      </left>
      <right style="thin">
        <color indexed="64"/>
      </right>
      <top/>
      <bottom/>
      <diagonal/>
    </border>
    <border>
      <left style="thin">
        <color theme="0"/>
      </left>
      <right/>
      <top/>
      <bottom/>
      <diagonal/>
    </border>
    <border>
      <left style="thin">
        <color theme="0"/>
      </left>
      <right style="thin">
        <color theme="0"/>
      </right>
      <top/>
      <bottom style="thin">
        <color theme="0"/>
      </bottom>
      <diagonal/>
    </border>
    <border>
      <left/>
      <right/>
      <top style="thin">
        <color theme="8"/>
      </top>
      <bottom/>
      <diagonal/>
    </border>
    <border>
      <left style="thin">
        <color indexed="64"/>
      </left>
      <right style="thin">
        <color indexed="64"/>
      </right>
      <top style="thin">
        <color indexed="64"/>
      </top>
      <bottom style="thin">
        <color theme="4" tint="0.39997558519241921"/>
      </bottom>
      <diagonal/>
    </border>
  </borders>
  <cellStyleXfs count="10">
    <xf numFmtId="0" fontId="0" fillId="0" borderId="0"/>
    <xf numFmtId="0" fontId="6" fillId="2" borderId="1" applyNumberFormat="0" applyAlignment="0" applyProtection="0"/>
    <xf numFmtId="9" fontId="10" fillId="0" borderId="0" applyFont="0" applyFill="0" applyBorder="0" applyAlignment="0" applyProtection="0"/>
    <xf numFmtId="0" fontId="15" fillId="0" borderId="0" applyNumberFormat="0" applyFill="0" applyBorder="0" applyAlignment="0" applyProtection="0">
      <alignment horizontal="center" vertical="center"/>
    </xf>
    <xf numFmtId="0" fontId="4" fillId="0" borderId="0"/>
    <xf numFmtId="9" fontId="5" fillId="0" borderId="0" applyFont="0" applyFill="0" applyBorder="0" applyAlignment="0" applyProtection="0"/>
    <xf numFmtId="0" fontId="3" fillId="0" borderId="0"/>
    <xf numFmtId="0" fontId="2" fillId="0" borderId="0"/>
    <xf numFmtId="0" fontId="5" fillId="0" borderId="0"/>
    <xf numFmtId="43" fontId="56" fillId="0" borderId="0" applyFont="0" applyFill="0" applyBorder="0" applyAlignment="0" applyProtection="0"/>
  </cellStyleXfs>
  <cellXfs count="507">
    <xf numFmtId="0" fontId="0" fillId="0" borderId="0" xfId="0"/>
    <xf numFmtId="164" fontId="0" fillId="0" borderId="0" xfId="0" applyNumberFormat="1"/>
    <xf numFmtId="14" fontId="0" fillId="0" borderId="0" xfId="0" applyNumberFormat="1"/>
    <xf numFmtId="0" fontId="5" fillId="0" borderId="0" xfId="0" applyFont="1"/>
    <xf numFmtId="1" fontId="0" fillId="0" borderId="0" xfId="0" applyNumberFormat="1"/>
    <xf numFmtId="0" fontId="0" fillId="3" borderId="0" xfId="0" applyFill="1"/>
    <xf numFmtId="14" fontId="0" fillId="3" borderId="0" xfId="0" applyNumberFormat="1" applyFill="1"/>
    <xf numFmtId="164" fontId="0" fillId="3" borderId="0" xfId="0" applyNumberFormat="1" applyFill="1"/>
    <xf numFmtId="1" fontId="0" fillId="3" borderId="0" xfId="0" applyNumberFormat="1" applyFill="1"/>
    <xf numFmtId="0" fontId="5" fillId="3" borderId="0" xfId="0" applyFont="1" applyFill="1"/>
    <xf numFmtId="14" fontId="0" fillId="4" borderId="0" xfId="0" applyNumberFormat="1" applyFill="1"/>
    <xf numFmtId="0" fontId="0" fillId="5" borderId="0" xfId="0" applyFill="1"/>
    <xf numFmtId="0" fontId="0" fillId="6" borderId="0" xfId="0" applyFill="1"/>
    <xf numFmtId="14" fontId="0" fillId="6" borderId="0" xfId="0" applyNumberFormat="1" applyFill="1"/>
    <xf numFmtId="164" fontId="0" fillId="6" borderId="0" xfId="0" applyNumberFormat="1" applyFill="1"/>
    <xf numFmtId="1" fontId="0" fillId="6" borderId="0" xfId="0" applyNumberFormat="1" applyFill="1"/>
    <xf numFmtId="0" fontId="0" fillId="0" borderId="2" xfId="0" applyBorder="1"/>
    <xf numFmtId="1" fontId="0" fillId="0" borderId="3" xfId="0" applyNumberFormat="1" applyBorder="1"/>
    <xf numFmtId="0" fontId="0" fillId="0" borderId="3" xfId="0" applyBorder="1"/>
    <xf numFmtId="1" fontId="0" fillId="6" borderId="3" xfId="0" applyNumberFormat="1" applyFill="1" applyBorder="1"/>
    <xf numFmtId="14" fontId="0" fillId="0" borderId="3" xfId="0" applyNumberFormat="1" applyBorder="1"/>
    <xf numFmtId="164" fontId="0" fillId="0" borderId="3" xfId="0" applyNumberFormat="1" applyBorder="1"/>
    <xf numFmtId="0" fontId="0" fillId="0" borderId="4" xfId="0" applyBorder="1"/>
    <xf numFmtId="0" fontId="0" fillId="6" borderId="5" xfId="0" applyFill="1" applyBorder="1"/>
    <xf numFmtId="0" fontId="0" fillId="6" borderId="6" xfId="0" applyFill="1" applyBorder="1"/>
    <xf numFmtId="0" fontId="0" fillId="0" borderId="5" xfId="0" applyBorder="1"/>
    <xf numFmtId="0" fontId="0" fillId="0" borderId="6" xfId="0" applyBorder="1"/>
    <xf numFmtId="0" fontId="0" fillId="0" borderId="7" xfId="0" applyBorder="1"/>
    <xf numFmtId="1" fontId="0" fillId="0" borderId="8" xfId="0" applyNumberFormat="1" applyBorder="1"/>
    <xf numFmtId="0" fontId="0" fillId="0" borderId="8" xfId="0" applyBorder="1"/>
    <xf numFmtId="1" fontId="0" fillId="6" borderId="8" xfId="0" applyNumberFormat="1" applyFill="1" applyBorder="1"/>
    <xf numFmtId="14" fontId="0" fillId="0" borderId="8" xfId="0" applyNumberFormat="1" applyBorder="1"/>
    <xf numFmtId="0" fontId="0" fillId="0" borderId="9" xfId="0" applyBorder="1"/>
    <xf numFmtId="0" fontId="0" fillId="3" borderId="2" xfId="0" applyFill="1" applyBorder="1"/>
    <xf numFmtId="1" fontId="0" fillId="3" borderId="3" xfId="0" applyNumberFormat="1" applyFill="1" applyBorder="1"/>
    <xf numFmtId="0" fontId="0" fillId="3" borderId="3" xfId="0" applyFill="1" applyBorder="1"/>
    <xf numFmtId="14" fontId="0" fillId="3" borderId="3" xfId="0" applyNumberFormat="1" applyFill="1" applyBorder="1"/>
    <xf numFmtId="164" fontId="0" fillId="3" borderId="3" xfId="0" applyNumberFormat="1" applyFill="1" applyBorder="1"/>
    <xf numFmtId="0" fontId="0" fillId="3" borderId="4" xfId="0" applyFill="1" applyBorder="1"/>
    <xf numFmtId="0" fontId="0" fillId="3" borderId="5" xfId="0" applyFill="1" applyBorder="1"/>
    <xf numFmtId="0" fontId="0" fillId="3" borderId="6" xfId="0" applyFill="1" applyBorder="1"/>
    <xf numFmtId="164" fontId="0" fillId="0" borderId="8" xfId="0" applyNumberFormat="1" applyBorder="1"/>
    <xf numFmtId="0" fontId="0" fillId="6" borderId="2" xfId="0" applyFill="1" applyBorder="1"/>
    <xf numFmtId="0" fontId="0" fillId="6" borderId="3" xfId="0" applyFill="1" applyBorder="1"/>
    <xf numFmtId="14" fontId="0" fillId="6" borderId="3" xfId="0" applyNumberFormat="1" applyFill="1" applyBorder="1"/>
    <xf numFmtId="164" fontId="0" fillId="6" borderId="3" xfId="0" applyNumberFormat="1" applyFill="1" applyBorder="1"/>
    <xf numFmtId="0" fontId="0" fillId="6" borderId="4" xfId="0" applyFill="1" applyBorder="1"/>
    <xf numFmtId="0" fontId="0" fillId="3" borderId="7" xfId="0" applyFill="1" applyBorder="1"/>
    <xf numFmtId="1" fontId="0" fillId="3" borderId="8" xfId="0" applyNumberFormat="1" applyFill="1" applyBorder="1"/>
    <xf numFmtId="0" fontId="0" fillId="3" borderId="8" xfId="0" applyFill="1" applyBorder="1"/>
    <xf numFmtId="14" fontId="0" fillId="3" borderId="8" xfId="0" applyNumberFormat="1" applyFill="1" applyBorder="1"/>
    <xf numFmtId="164" fontId="0" fillId="3" borderId="8" xfId="0" applyNumberFormat="1" applyFill="1" applyBorder="1"/>
    <xf numFmtId="0" fontId="0" fillId="3" borderId="9" xfId="0" applyFill="1" applyBorder="1"/>
    <xf numFmtId="165" fontId="0" fillId="3" borderId="0" xfId="0" applyNumberFormat="1" applyFill="1"/>
    <xf numFmtId="165" fontId="0" fillId="0" borderId="3" xfId="0" applyNumberFormat="1" applyBorder="1"/>
    <xf numFmtId="165" fontId="0" fillId="6" borderId="0" xfId="0" applyNumberFormat="1" applyFill="1"/>
    <xf numFmtId="165" fontId="0" fillId="0" borderId="0" xfId="0" applyNumberFormat="1"/>
    <xf numFmtId="165" fontId="0" fillId="0" borderId="8" xfId="0" applyNumberFormat="1" applyBorder="1"/>
    <xf numFmtId="165" fontId="0" fillId="6" borderId="3" xfId="0" applyNumberFormat="1" applyFill="1" applyBorder="1"/>
    <xf numFmtId="165" fontId="0" fillId="3" borderId="3" xfId="0" applyNumberFormat="1" applyFill="1" applyBorder="1"/>
    <xf numFmtId="165" fontId="0" fillId="6" borderId="8" xfId="0" applyNumberFormat="1" applyFill="1" applyBorder="1"/>
    <xf numFmtId="165" fontId="0" fillId="3" borderId="8" xfId="0" applyNumberFormat="1" applyFill="1" applyBorder="1"/>
    <xf numFmtId="0" fontId="0" fillId="6" borderId="7" xfId="0" applyFill="1" applyBorder="1"/>
    <xf numFmtId="0" fontId="0" fillId="6" borderId="8" xfId="0" applyFill="1" applyBorder="1"/>
    <xf numFmtId="14" fontId="0" fillId="6" borderId="8" xfId="0" applyNumberFormat="1" applyFill="1" applyBorder="1"/>
    <xf numFmtId="164" fontId="0" fillId="6" borderId="8" xfId="0" applyNumberFormat="1" applyFill="1" applyBorder="1"/>
    <xf numFmtId="0" fontId="0" fillId="6" borderId="9" xfId="0" applyFill="1" applyBorder="1"/>
    <xf numFmtId="0" fontId="6" fillId="2" borderId="1" xfId="1"/>
    <xf numFmtId="0" fontId="9" fillId="0" borderId="0" xfId="0" applyFont="1" applyAlignment="1">
      <alignment horizontal="left" vertical="center"/>
    </xf>
    <xf numFmtId="9" fontId="9" fillId="0" borderId="0" xfId="2" applyFont="1" applyFill="1" applyBorder="1" applyAlignment="1" applyProtection="1">
      <alignment horizontal="center" vertical="center"/>
    </xf>
    <xf numFmtId="0" fontId="13" fillId="0" borderId="0" xfId="0" applyFont="1" applyAlignment="1">
      <alignment horizontal="center" vertical="center"/>
    </xf>
    <xf numFmtId="0" fontId="13" fillId="0" borderId="12" xfId="0" applyFont="1" applyBorder="1" applyAlignment="1">
      <alignment horizontal="center" vertical="center"/>
    </xf>
    <xf numFmtId="0" fontId="13" fillId="0" borderId="15" xfId="0" applyFont="1" applyBorder="1" applyAlignment="1">
      <alignment horizontal="center" vertical="center"/>
    </xf>
    <xf numFmtId="0" fontId="0" fillId="12" borderId="0" xfId="0" applyFill="1"/>
    <xf numFmtId="0" fontId="19" fillId="0" borderId="0" xfId="0" applyFont="1"/>
    <xf numFmtId="1" fontId="16" fillId="0" borderId="0" xfId="2" applyNumberFormat="1" applyFont="1" applyFill="1" applyBorder="1" applyAlignment="1" applyProtection="1">
      <alignment horizontal="center" vertical="center"/>
    </xf>
    <xf numFmtId="0" fontId="19" fillId="0" borderId="0" xfId="0" applyFont="1" applyAlignment="1">
      <alignment horizontal="center" vertical="center"/>
    </xf>
    <xf numFmtId="0" fontId="9" fillId="0" borderId="0" xfId="0" applyFont="1" applyAlignment="1">
      <alignment horizontal="left" vertical="center" wrapText="1"/>
    </xf>
    <xf numFmtId="9" fontId="20" fillId="0" borderId="0" xfId="2" applyFont="1" applyFill="1" applyBorder="1" applyAlignment="1" applyProtection="1">
      <alignment horizontal="center" vertical="center"/>
    </xf>
    <xf numFmtId="1" fontId="21" fillId="0" borderId="0" xfId="2" applyNumberFormat="1" applyFont="1" applyFill="1" applyBorder="1" applyAlignment="1" applyProtection="1">
      <alignment horizontal="center" vertical="center"/>
    </xf>
    <xf numFmtId="0" fontId="22" fillId="0" borderId="10" xfId="0" applyFont="1" applyBorder="1" applyAlignment="1" applyProtection="1">
      <alignment horizontal="left" vertical="center" wrapText="1"/>
      <protection locked="0"/>
    </xf>
    <xf numFmtId="0" fontId="9" fillId="0" borderId="0" xfId="0" applyFont="1" applyAlignment="1" applyProtection="1">
      <alignment horizontal="left" vertical="center" wrapText="1"/>
      <protection locked="0"/>
    </xf>
    <xf numFmtId="9" fontId="17" fillId="7" borderId="11" xfId="0" applyNumberFormat="1" applyFont="1" applyFill="1" applyBorder="1" applyAlignment="1">
      <alignment horizontal="center" vertical="center"/>
    </xf>
    <xf numFmtId="9" fontId="17" fillId="7" borderId="10" xfId="0" applyNumberFormat="1" applyFont="1" applyFill="1" applyBorder="1" applyAlignment="1">
      <alignment horizontal="center" vertical="center"/>
    </xf>
    <xf numFmtId="0" fontId="17" fillId="0" borderId="10"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9" fontId="17" fillId="7" borderId="13" xfId="0" applyNumberFormat="1" applyFont="1" applyFill="1" applyBorder="1" applyAlignment="1">
      <alignment horizontal="center" vertical="center"/>
    </xf>
    <xf numFmtId="9" fontId="17" fillId="7" borderId="14" xfId="0" applyNumberFormat="1" applyFont="1" applyFill="1" applyBorder="1" applyAlignment="1">
      <alignment horizontal="center" vertical="center"/>
    </xf>
    <xf numFmtId="15" fontId="11" fillId="0" borderId="0" xfId="0" applyNumberFormat="1" applyFont="1" applyAlignment="1" applyProtection="1">
      <alignment horizontal="left" vertical="center" wrapText="1"/>
      <protection locked="0"/>
    </xf>
    <xf numFmtId="0" fontId="17" fillId="0" borderId="10" xfId="0" applyFont="1" applyBorder="1" applyAlignment="1">
      <alignment horizontal="left"/>
    </xf>
    <xf numFmtId="0" fontId="20" fillId="0" borderId="0" xfId="0" applyFont="1" applyAlignment="1">
      <alignment vertical="center"/>
    </xf>
    <xf numFmtId="0" fontId="20" fillId="0" borderId="0" xfId="0" applyFont="1" applyAlignment="1">
      <alignment vertical="center" wrapText="1"/>
    </xf>
    <xf numFmtId="0" fontId="9" fillId="0" borderId="0" xfId="0" applyFont="1" applyAlignment="1">
      <alignment vertical="center"/>
    </xf>
    <xf numFmtId="9" fontId="11" fillId="0" borderId="0" xfId="0" applyNumberFormat="1" applyFont="1" applyAlignment="1">
      <alignment horizontal="center" vertical="center"/>
    </xf>
    <xf numFmtId="0" fontId="19" fillId="0" borderId="0" xfId="0" applyFont="1" applyAlignment="1">
      <alignment horizontal="center"/>
    </xf>
    <xf numFmtId="0" fontId="21" fillId="0" borderId="10" xfId="0" applyFont="1" applyBorder="1" applyAlignment="1">
      <alignment horizontal="center" vertical="center"/>
    </xf>
    <xf numFmtId="0" fontId="26" fillId="0" borderId="10" xfId="0" applyFont="1" applyBorder="1" applyAlignment="1">
      <alignment horizontal="left" vertical="center"/>
    </xf>
    <xf numFmtId="0" fontId="28" fillId="0" borderId="10" xfId="0" applyFont="1" applyBorder="1" applyAlignment="1">
      <alignment horizontal="center" vertical="center"/>
    </xf>
    <xf numFmtId="0" fontId="24" fillId="0" borderId="10" xfId="0" applyFont="1" applyBorder="1" applyAlignment="1">
      <alignment horizontal="center" vertical="center" wrapText="1"/>
    </xf>
    <xf numFmtId="9" fontId="23" fillId="10" borderId="10" xfId="0" applyNumberFormat="1" applyFont="1" applyFill="1" applyBorder="1" applyAlignment="1" applyProtection="1">
      <alignment horizontal="center" vertical="center"/>
      <protection locked="0"/>
    </xf>
    <xf numFmtId="9" fontId="24" fillId="0" borderId="10" xfId="0" applyNumberFormat="1" applyFont="1" applyBorder="1" applyAlignment="1">
      <alignment horizontal="center" vertical="center" wrapText="1"/>
    </xf>
    <xf numFmtId="9" fontId="24" fillId="0" borderId="10" xfId="0" applyNumberFormat="1" applyFont="1" applyBorder="1" applyAlignment="1">
      <alignment horizontal="center" vertical="center"/>
    </xf>
    <xf numFmtId="0" fontId="24" fillId="8" borderId="10" xfId="0" applyFont="1" applyFill="1" applyBorder="1" applyAlignment="1">
      <alignment horizontal="center" vertical="center" wrapText="1"/>
    </xf>
    <xf numFmtId="0" fontId="21" fillId="8" borderId="10" xfId="0" applyFont="1" applyFill="1" applyBorder="1" applyAlignment="1">
      <alignment horizontal="center" vertical="center"/>
    </xf>
    <xf numFmtId="9" fontId="24" fillId="8" borderId="10" xfId="0" applyNumberFormat="1" applyFont="1" applyFill="1" applyBorder="1" applyAlignment="1">
      <alignment horizontal="center" vertical="center"/>
    </xf>
    <xf numFmtId="0" fontId="25" fillId="0" borderId="10" xfId="0" applyFont="1" applyBorder="1" applyAlignment="1">
      <alignment horizontal="center" vertical="center"/>
    </xf>
    <xf numFmtId="0" fontId="19" fillId="0" borderId="0" xfId="0" applyFont="1" applyAlignment="1">
      <alignment vertical="distributed"/>
    </xf>
    <xf numFmtId="0" fontId="29" fillId="8" borderId="10" xfId="0" applyFont="1" applyFill="1" applyBorder="1" applyAlignment="1">
      <alignment horizontal="center" vertical="center" wrapText="1"/>
    </xf>
    <xf numFmtId="0" fontId="25" fillId="8" borderId="10" xfId="0" applyFont="1" applyFill="1" applyBorder="1" applyAlignment="1">
      <alignment horizontal="left" vertical="center" wrapText="1"/>
    </xf>
    <xf numFmtId="0" fontId="24" fillId="8" borderId="10" xfId="0" applyFont="1" applyFill="1" applyBorder="1" applyAlignment="1">
      <alignment horizontal="center" vertical="center"/>
    </xf>
    <xf numFmtId="1" fontId="24" fillId="11" borderId="10" xfId="2" applyNumberFormat="1" applyFont="1" applyFill="1" applyBorder="1" applyAlignment="1" applyProtection="1">
      <alignment horizontal="center" vertical="center" wrapText="1"/>
      <protection locked="0"/>
    </xf>
    <xf numFmtId="0" fontId="29" fillId="8" borderId="18" xfId="0" applyFont="1" applyFill="1" applyBorder="1" applyAlignment="1">
      <alignment horizontal="center" vertical="center" wrapText="1"/>
    </xf>
    <xf numFmtId="1" fontId="26" fillId="13" borderId="10" xfId="0" applyNumberFormat="1" applyFont="1" applyFill="1" applyBorder="1" applyAlignment="1">
      <alignment horizontal="left" vertical="center" wrapText="1"/>
    </xf>
    <xf numFmtId="0" fontId="24" fillId="13" borderId="10" xfId="0" applyFont="1" applyFill="1" applyBorder="1" applyAlignment="1">
      <alignment horizontal="center" vertical="center"/>
    </xf>
    <xf numFmtId="1" fontId="24" fillId="14" borderId="10" xfId="2" applyNumberFormat="1" applyFont="1" applyFill="1" applyBorder="1" applyAlignment="1" applyProtection="1">
      <alignment horizontal="center" vertical="center" wrapText="1"/>
      <protection locked="0"/>
    </xf>
    <xf numFmtId="9" fontId="24" fillId="11" borderId="10" xfId="2" applyFont="1" applyFill="1" applyBorder="1" applyAlignment="1" applyProtection="1">
      <alignment horizontal="center" vertical="center" wrapText="1"/>
      <protection locked="0"/>
    </xf>
    <xf numFmtId="0" fontId="28" fillId="0" borderId="10" xfId="0" applyFont="1" applyBorder="1" applyAlignment="1">
      <alignment horizontal="center" vertical="center" wrapText="1"/>
    </xf>
    <xf numFmtId="9" fontId="30" fillId="4" borderId="10" xfId="0" applyNumberFormat="1" applyFont="1" applyFill="1" applyBorder="1" applyAlignment="1" applyProtection="1">
      <alignment horizontal="center" vertical="center" wrapText="1"/>
      <protection locked="0"/>
    </xf>
    <xf numFmtId="1" fontId="28" fillId="0" borderId="10" xfId="2" applyNumberFormat="1" applyFont="1" applyBorder="1" applyAlignment="1" applyProtection="1">
      <alignment horizontal="center" vertical="center"/>
      <protection locked="0"/>
    </xf>
    <xf numFmtId="0" fontId="31" fillId="0" borderId="10" xfId="0" applyFont="1" applyBorder="1" applyAlignment="1">
      <alignment horizontal="center" vertical="center"/>
    </xf>
    <xf numFmtId="0" fontId="19" fillId="0" borderId="0" xfId="0" applyFont="1" applyAlignment="1">
      <alignment wrapText="1"/>
    </xf>
    <xf numFmtId="0" fontId="21" fillId="0" borderId="0" xfId="0" applyFont="1" applyAlignment="1">
      <alignment horizontal="center" vertical="center"/>
    </xf>
    <xf numFmtId="0" fontId="33" fillId="0" borderId="0" xfId="0" applyFont="1"/>
    <xf numFmtId="0" fontId="9" fillId="0" borderId="0" xfId="0" applyFont="1" applyAlignment="1">
      <alignment horizontal="center" vertical="center"/>
    </xf>
    <xf numFmtId="167" fontId="36" fillId="15" borderId="22" xfId="0" applyNumberFormat="1" applyFont="1" applyFill="1" applyBorder="1"/>
    <xf numFmtId="0" fontId="0" fillId="8" borderId="0" xfId="0" applyFill="1"/>
    <xf numFmtId="0" fontId="36" fillId="15" borderId="25" xfId="0" applyFont="1" applyFill="1" applyBorder="1"/>
    <xf numFmtId="0" fontId="36" fillId="15" borderId="28" xfId="0" applyFont="1" applyFill="1" applyBorder="1"/>
    <xf numFmtId="0" fontId="36" fillId="15" borderId="27" xfId="0" applyFont="1" applyFill="1" applyBorder="1"/>
    <xf numFmtId="0" fontId="36" fillId="15" borderId="0" xfId="0" applyFont="1" applyFill="1" applyAlignment="1">
      <alignment horizontal="left"/>
    </xf>
    <xf numFmtId="0" fontId="36" fillId="15" borderId="0" xfId="0" applyFont="1" applyFill="1"/>
    <xf numFmtId="0" fontId="36" fillId="15" borderId="28" xfId="0" applyFont="1" applyFill="1" applyBorder="1" applyAlignment="1">
      <alignment horizontal="left"/>
    </xf>
    <xf numFmtId="0" fontId="39" fillId="15" borderId="30" xfId="0" applyFont="1" applyFill="1" applyBorder="1" applyAlignment="1">
      <alignment horizontal="center" vertical="center"/>
    </xf>
    <xf numFmtId="0" fontId="39" fillId="15" borderId="30" xfId="0" applyFont="1" applyFill="1" applyBorder="1" applyAlignment="1">
      <alignment horizontal="center" vertical="center" wrapText="1"/>
    </xf>
    <xf numFmtId="0" fontId="21" fillId="0" borderId="18" xfId="0" applyFont="1" applyBorder="1" applyAlignment="1">
      <alignment horizontal="center" vertical="center"/>
    </xf>
    <xf numFmtId="0" fontId="26" fillId="0" borderId="18" xfId="0" applyFont="1" applyBorder="1" applyAlignment="1">
      <alignment horizontal="center" vertical="center" wrapText="1"/>
    </xf>
    <xf numFmtId="0" fontId="24" fillId="0" borderId="18" xfId="0" applyFont="1" applyBorder="1" applyAlignment="1">
      <alignment horizontal="center" vertical="center" wrapText="1"/>
    </xf>
    <xf numFmtId="16" fontId="24" fillId="0" borderId="18" xfId="0" applyNumberFormat="1" applyFont="1" applyBorder="1" applyAlignment="1">
      <alignment horizontal="center" vertical="center"/>
    </xf>
    <xf numFmtId="9" fontId="23" fillId="10" borderId="18" xfId="0" applyNumberFormat="1" applyFont="1" applyFill="1" applyBorder="1" applyAlignment="1" applyProtection="1">
      <alignment horizontal="center" vertical="center"/>
      <protection locked="0"/>
    </xf>
    <xf numFmtId="9" fontId="24" fillId="0" borderId="18" xfId="0" applyNumberFormat="1" applyFont="1" applyBorder="1" applyAlignment="1">
      <alignment horizontal="center" vertical="center" wrapText="1"/>
    </xf>
    <xf numFmtId="168" fontId="39" fillId="17" borderId="31" xfId="0" applyNumberFormat="1" applyFont="1" applyFill="1" applyBorder="1" applyAlignment="1">
      <alignment horizontal="left"/>
    </xf>
    <xf numFmtId="0" fontId="37" fillId="15" borderId="23" xfId="0" applyFont="1" applyFill="1" applyBorder="1" applyAlignment="1">
      <alignment vertical="center"/>
    </xf>
    <xf numFmtId="0" fontId="37" fillId="15" borderId="0" xfId="0" applyFont="1" applyFill="1" applyAlignment="1">
      <alignment vertical="center"/>
    </xf>
    <xf numFmtId="0" fontId="38" fillId="15" borderId="28" xfId="0" applyFont="1" applyFill="1" applyBorder="1"/>
    <xf numFmtId="0" fontId="13" fillId="18" borderId="31" xfId="0" applyFont="1" applyFill="1" applyBorder="1" applyAlignment="1">
      <alignment horizontal="center" vertical="center"/>
    </xf>
    <xf numFmtId="0" fontId="17" fillId="0" borderId="0" xfId="0" applyFont="1" applyAlignment="1">
      <alignment horizontal="left"/>
    </xf>
    <xf numFmtId="0" fontId="39" fillId="0" borderId="0" xfId="0" applyFont="1" applyAlignment="1">
      <alignment vertical="center"/>
    </xf>
    <xf numFmtId="167" fontId="39" fillId="17" borderId="31" xfId="0" applyNumberFormat="1" applyFont="1" applyFill="1" applyBorder="1" applyAlignment="1">
      <alignment horizontal="center" vertical="center" wrapText="1"/>
    </xf>
    <xf numFmtId="9" fontId="24" fillId="0" borderId="18" xfId="0" applyNumberFormat="1" applyFont="1" applyBorder="1" applyAlignment="1">
      <alignment horizontal="center" vertical="center"/>
    </xf>
    <xf numFmtId="0" fontId="21" fillId="13" borderId="10" xfId="0" applyFont="1" applyFill="1" applyBorder="1" applyAlignment="1">
      <alignment horizontal="center" vertical="center"/>
    </xf>
    <xf numFmtId="1" fontId="24" fillId="13" borderId="10" xfId="0" applyNumberFormat="1" applyFont="1" applyFill="1" applyBorder="1" applyAlignment="1">
      <alignment horizontal="center"/>
    </xf>
    <xf numFmtId="0" fontId="26" fillId="13" borderId="18" xfId="0" applyFont="1" applyFill="1" applyBorder="1" applyAlignment="1">
      <alignment horizontal="center" vertical="center" wrapText="1"/>
    </xf>
    <xf numFmtId="0" fontId="26" fillId="13" borderId="10" xfId="0" applyFont="1" applyFill="1" applyBorder="1" applyAlignment="1">
      <alignment horizontal="left" vertical="center"/>
    </xf>
    <xf numFmtId="0" fontId="28" fillId="13" borderId="10" xfId="0" applyFont="1" applyFill="1" applyBorder="1" applyAlignment="1">
      <alignment horizontal="center" vertical="center"/>
    </xf>
    <xf numFmtId="0" fontId="24" fillId="13" borderId="10" xfId="0" applyFont="1" applyFill="1" applyBorder="1" applyAlignment="1">
      <alignment horizontal="center" vertical="center" wrapText="1"/>
    </xf>
    <xf numFmtId="16" fontId="24" fillId="13" borderId="18" xfId="0" applyNumberFormat="1" applyFont="1" applyFill="1" applyBorder="1" applyAlignment="1">
      <alignment horizontal="center" vertical="center"/>
    </xf>
    <xf numFmtId="9" fontId="24" fillId="13" borderId="10" xfId="0" applyNumberFormat="1" applyFont="1" applyFill="1" applyBorder="1" applyAlignment="1">
      <alignment horizontal="center" vertical="center" wrapText="1"/>
    </xf>
    <xf numFmtId="9" fontId="24" fillId="13" borderId="10" xfId="0" applyNumberFormat="1" applyFont="1" applyFill="1" applyBorder="1" applyAlignment="1">
      <alignment horizontal="center" vertical="center"/>
    </xf>
    <xf numFmtId="167" fontId="17" fillId="0" borderId="10" xfId="0" applyNumberFormat="1" applyFont="1" applyBorder="1" applyAlignment="1" applyProtection="1">
      <alignment horizontal="left" vertical="center" wrapText="1"/>
      <protection locked="0"/>
    </xf>
    <xf numFmtId="0" fontId="25" fillId="0" borderId="18" xfId="0" applyFont="1" applyBorder="1" applyAlignment="1">
      <alignment horizontal="center" vertical="center"/>
    </xf>
    <xf numFmtId="0" fontId="25" fillId="13" borderId="10" xfId="0" applyFont="1" applyFill="1" applyBorder="1" applyAlignment="1">
      <alignment horizontal="center" vertical="center"/>
    </xf>
    <xf numFmtId="9" fontId="17" fillId="7" borderId="19" xfId="0" applyNumberFormat="1" applyFont="1" applyFill="1" applyBorder="1" applyAlignment="1">
      <alignment horizontal="center" vertical="center"/>
    </xf>
    <xf numFmtId="9" fontId="17" fillId="7" borderId="18" xfId="0" applyNumberFormat="1" applyFont="1" applyFill="1" applyBorder="1" applyAlignment="1">
      <alignment horizontal="center" vertical="center"/>
    </xf>
    <xf numFmtId="0" fontId="13" fillId="0" borderId="20" xfId="0" applyFont="1" applyBorder="1" applyAlignment="1">
      <alignment horizontal="center" vertical="center"/>
    </xf>
    <xf numFmtId="0" fontId="29" fillId="13" borderId="10" xfId="0" applyFont="1" applyFill="1" applyBorder="1" applyAlignment="1">
      <alignment horizontal="center" vertical="center" wrapText="1"/>
    </xf>
    <xf numFmtId="9" fontId="24" fillId="14" borderId="10" xfId="2" applyFont="1" applyFill="1" applyBorder="1" applyAlignment="1" applyProtection="1">
      <alignment horizontal="center" vertical="center" wrapText="1"/>
      <protection locked="0"/>
    </xf>
    <xf numFmtId="0" fontId="28" fillId="13" borderId="10" xfId="0" applyFont="1" applyFill="1" applyBorder="1" applyAlignment="1">
      <alignment horizontal="center" vertical="center" wrapText="1"/>
    </xf>
    <xf numFmtId="1" fontId="28" fillId="13" borderId="10" xfId="2" applyNumberFormat="1" applyFont="1" applyFill="1" applyBorder="1" applyAlignment="1" applyProtection="1">
      <alignment horizontal="center" vertical="center"/>
      <protection locked="0"/>
    </xf>
    <xf numFmtId="0" fontId="31" fillId="13" borderId="10" xfId="0" applyFont="1" applyFill="1" applyBorder="1" applyAlignment="1">
      <alignment horizontal="center" vertical="center"/>
    </xf>
    <xf numFmtId="0" fontId="27" fillId="4" borderId="18" xfId="1" applyFont="1" applyFill="1" applyBorder="1" applyAlignment="1">
      <alignment horizontal="center" vertical="center"/>
    </xf>
    <xf numFmtId="0" fontId="27" fillId="4" borderId="10" xfId="1" applyFont="1" applyFill="1" applyBorder="1" applyAlignment="1">
      <alignment horizontal="center" vertical="center"/>
    </xf>
    <xf numFmtId="168" fontId="38" fillId="17" borderId="0" xfId="0" applyNumberFormat="1" applyFont="1" applyFill="1" applyAlignment="1">
      <alignment horizontal="center"/>
    </xf>
    <xf numFmtId="0" fontId="24" fillId="11" borderId="10" xfId="3" applyFont="1" applyFill="1" applyBorder="1" applyAlignment="1" applyProtection="1">
      <alignment horizontal="center" vertical="center" wrapText="1"/>
      <protection locked="0"/>
    </xf>
    <xf numFmtId="0" fontId="24" fillId="14" borderId="10" xfId="3" applyFont="1" applyFill="1" applyBorder="1" applyAlignment="1" applyProtection="1">
      <alignment horizontal="center" vertical="center" wrapText="1"/>
      <protection locked="0"/>
    </xf>
    <xf numFmtId="0" fontId="25" fillId="8" borderId="10" xfId="0" applyFont="1" applyFill="1" applyBorder="1" applyAlignment="1">
      <alignment horizontal="center" vertical="center" wrapText="1"/>
    </xf>
    <xf numFmtId="0" fontId="24" fillId="0" borderId="10" xfId="3" applyFont="1" applyFill="1" applyBorder="1" applyAlignment="1" applyProtection="1">
      <alignment horizontal="center" vertical="center" wrapText="1"/>
      <protection locked="0"/>
    </xf>
    <xf numFmtId="0" fontId="25" fillId="13" borderId="10" xfId="0" applyFont="1" applyFill="1" applyBorder="1" applyAlignment="1">
      <alignment horizontal="center" vertical="center" wrapText="1"/>
    </xf>
    <xf numFmtId="0" fontId="24" fillId="13" borderId="10" xfId="3" applyFont="1" applyFill="1" applyBorder="1" applyAlignment="1" applyProtection="1">
      <alignment horizontal="center" vertical="center" wrapText="1"/>
      <protection locked="0"/>
    </xf>
    <xf numFmtId="0" fontId="32" fillId="0" borderId="10" xfId="3" applyFont="1" applyBorder="1" applyAlignment="1" applyProtection="1">
      <alignment horizontal="center" vertical="center" wrapText="1"/>
    </xf>
    <xf numFmtId="0" fontId="32" fillId="13" borderId="10" xfId="3" applyFont="1" applyFill="1" applyBorder="1" applyAlignment="1" applyProtection="1">
      <alignment horizontal="center" vertical="center" wrapText="1"/>
    </xf>
    <xf numFmtId="0" fontId="32" fillId="13" borderId="10" xfId="3" applyFont="1" applyFill="1" applyBorder="1" applyAlignment="1" applyProtection="1">
      <alignment horizontal="center" vertical="center"/>
      <protection locked="0"/>
    </xf>
    <xf numFmtId="0" fontId="24" fillId="13" borderId="10" xfId="3" applyFont="1" applyFill="1" applyBorder="1" applyAlignment="1" applyProtection="1">
      <alignment horizontal="center" vertical="center" wrapText="1"/>
    </xf>
    <xf numFmtId="0" fontId="46" fillId="4" borderId="10" xfId="1" applyFont="1" applyFill="1" applyBorder="1" applyAlignment="1">
      <alignment horizontal="center" vertical="center"/>
    </xf>
    <xf numFmtId="0" fontId="25" fillId="13" borderId="17" xfId="0" applyFont="1" applyFill="1" applyBorder="1" applyAlignment="1">
      <alignment horizontal="center" vertical="center"/>
    </xf>
    <xf numFmtId="168" fontId="38" fillId="17" borderId="0" xfId="0" applyNumberFormat="1" applyFont="1" applyFill="1" applyAlignment="1">
      <alignment horizontal="center" wrapText="1"/>
    </xf>
    <xf numFmtId="168" fontId="38" fillId="17" borderId="33" xfId="0" applyNumberFormat="1" applyFont="1" applyFill="1" applyBorder="1" applyAlignment="1">
      <alignment horizontal="center"/>
    </xf>
    <xf numFmtId="14" fontId="11" fillId="8" borderId="0" xfId="0" applyNumberFormat="1" applyFont="1" applyFill="1" applyAlignment="1">
      <alignment horizontal="left" vertical="center"/>
    </xf>
    <xf numFmtId="0" fontId="11" fillId="8" borderId="0" xfId="0" applyFont="1" applyFill="1" applyAlignment="1">
      <alignment horizontal="left" vertical="center"/>
    </xf>
    <xf numFmtId="14" fontId="16" fillId="8" borderId="0" xfId="0" applyNumberFormat="1" applyFont="1" applyFill="1" applyAlignment="1">
      <alignment horizontal="left" vertical="center"/>
    </xf>
    <xf numFmtId="0" fontId="16" fillId="8" borderId="0" xfId="0" applyFont="1" applyFill="1" applyAlignment="1">
      <alignment horizontal="left" vertical="center"/>
    </xf>
    <xf numFmtId="9" fontId="17" fillId="8" borderId="0" xfId="0" applyNumberFormat="1" applyFont="1" applyFill="1" applyAlignment="1">
      <alignment horizontal="center" vertical="center"/>
    </xf>
    <xf numFmtId="0" fontId="13" fillId="8" borderId="0" xfId="0" applyFont="1" applyFill="1" applyAlignment="1">
      <alignment horizontal="center" vertical="center"/>
    </xf>
    <xf numFmtId="165" fontId="6" fillId="2" borderId="1" xfId="1" applyNumberFormat="1"/>
    <xf numFmtId="168" fontId="39" fillId="17" borderId="10" xfId="0" applyNumberFormat="1" applyFont="1" applyFill="1" applyBorder="1" applyAlignment="1">
      <alignment horizontal="center" vertical="center" wrapText="1"/>
    </xf>
    <xf numFmtId="0" fontId="9" fillId="8" borderId="0" xfId="0" applyFont="1" applyFill="1" applyAlignment="1">
      <alignment horizontal="center" vertical="center"/>
    </xf>
    <xf numFmtId="0" fontId="18" fillId="8" borderId="0" xfId="0" applyFont="1" applyFill="1" applyAlignment="1">
      <alignment horizontal="center" vertical="center"/>
    </xf>
    <xf numFmtId="0" fontId="19" fillId="8" borderId="0" xfId="0" applyFont="1" applyFill="1"/>
    <xf numFmtId="1" fontId="16" fillId="8" borderId="0" xfId="2" applyNumberFormat="1" applyFont="1" applyFill="1" applyBorder="1" applyAlignment="1" applyProtection="1">
      <alignment horizontal="center" vertical="center"/>
    </xf>
    <xf numFmtId="0" fontId="12" fillId="8" borderId="0" xfId="0" applyFont="1" applyFill="1" applyAlignment="1">
      <alignment horizontal="center" vertical="center"/>
    </xf>
    <xf numFmtId="1" fontId="21" fillId="8" borderId="0" xfId="2" applyNumberFormat="1" applyFont="1" applyFill="1" applyBorder="1" applyAlignment="1" applyProtection="1">
      <alignment horizontal="center" vertical="center"/>
    </xf>
    <xf numFmtId="9" fontId="39" fillId="17" borderId="31" xfId="5" applyFont="1" applyFill="1" applyBorder="1" applyAlignment="1">
      <alignment horizontal="center"/>
    </xf>
    <xf numFmtId="9" fontId="39" fillId="17" borderId="32" xfId="5" applyFont="1" applyFill="1" applyBorder="1" applyAlignment="1">
      <alignment horizontal="center"/>
    </xf>
    <xf numFmtId="14" fontId="9" fillId="8" borderId="0" xfId="0" applyNumberFormat="1" applyFont="1" applyFill="1" applyAlignment="1">
      <alignment horizontal="left" vertical="center"/>
    </xf>
    <xf numFmtId="0" fontId="38" fillId="17" borderId="32" xfId="5" applyNumberFormat="1" applyFont="1" applyFill="1" applyBorder="1" applyAlignment="1">
      <alignment horizontal="center"/>
    </xf>
    <xf numFmtId="9" fontId="38" fillId="17" borderId="0" xfId="5" applyFont="1" applyFill="1" applyBorder="1" applyAlignment="1">
      <alignment horizontal="center"/>
    </xf>
    <xf numFmtId="1" fontId="49" fillId="19" borderId="18" xfId="0" applyNumberFormat="1" applyFont="1" applyFill="1" applyBorder="1" applyAlignment="1">
      <alignment horizontal="center"/>
    </xf>
    <xf numFmtId="0" fontId="26" fillId="0" borderId="18" xfId="0" applyFont="1" applyBorder="1" applyAlignment="1">
      <alignment horizontal="left" vertical="center"/>
    </xf>
    <xf numFmtId="0" fontId="24" fillId="0" borderId="18" xfId="0" applyFont="1" applyBorder="1" applyAlignment="1">
      <alignment horizontal="center" vertical="center"/>
    </xf>
    <xf numFmtId="1" fontId="49" fillId="19" borderId="10" xfId="0" applyNumberFormat="1" applyFont="1" applyFill="1" applyBorder="1" applyAlignment="1">
      <alignment horizontal="center"/>
    </xf>
    <xf numFmtId="9" fontId="19" fillId="0" borderId="0" xfId="0" applyNumberFormat="1" applyFont="1"/>
    <xf numFmtId="1" fontId="24" fillId="0" borderId="18" xfId="0" applyNumberFormat="1" applyFont="1" applyBorder="1" applyAlignment="1">
      <alignment horizontal="center"/>
    </xf>
    <xf numFmtId="1" fontId="49" fillId="19" borderId="17" xfId="0" applyNumberFormat="1" applyFont="1" applyFill="1" applyBorder="1" applyAlignment="1">
      <alignment horizontal="center"/>
    </xf>
    <xf numFmtId="0" fontId="26" fillId="13" borderId="34" xfId="0" applyFont="1" applyFill="1" applyBorder="1" applyAlignment="1">
      <alignment horizontal="center" vertical="center" wrapText="1"/>
    </xf>
    <xf numFmtId="0" fontId="38" fillId="17" borderId="0" xfId="5" applyNumberFormat="1" applyFont="1" applyFill="1" applyAlignment="1">
      <alignment horizontal="center"/>
    </xf>
    <xf numFmtId="9" fontId="38" fillId="17" borderId="0" xfId="5" applyFont="1" applyFill="1" applyAlignment="1">
      <alignment horizontal="center"/>
    </xf>
    <xf numFmtId="0" fontId="50" fillId="19" borderId="10" xfId="0" applyFont="1" applyFill="1" applyBorder="1" applyAlignment="1">
      <alignment horizontal="center" vertical="center"/>
    </xf>
    <xf numFmtId="0" fontId="26" fillId="20" borderId="18" xfId="0" applyFont="1" applyFill="1" applyBorder="1" applyAlignment="1">
      <alignment horizontal="center" vertical="center" wrapText="1"/>
    </xf>
    <xf numFmtId="9" fontId="24" fillId="20" borderId="10" xfId="0" applyNumberFormat="1" applyFont="1" applyFill="1" applyBorder="1" applyAlignment="1">
      <alignment horizontal="center" vertical="center"/>
    </xf>
    <xf numFmtId="16" fontId="24" fillId="20" borderId="18" xfId="0" applyNumberFormat="1" applyFont="1" applyFill="1" applyBorder="1" applyAlignment="1">
      <alignment horizontal="center" vertical="center"/>
    </xf>
    <xf numFmtId="9" fontId="23" fillId="21" borderId="10" xfId="0" applyNumberFormat="1" applyFont="1" applyFill="1" applyBorder="1" applyAlignment="1" applyProtection="1">
      <alignment horizontal="center" vertical="center"/>
      <protection locked="0"/>
    </xf>
    <xf numFmtId="0" fontId="25" fillId="0" borderId="17" xfId="0" applyFont="1" applyBorder="1" applyAlignment="1">
      <alignment horizontal="center" vertical="center"/>
    </xf>
    <xf numFmtId="0" fontId="26" fillId="0" borderId="34" xfId="0" applyFont="1" applyBorder="1" applyAlignment="1">
      <alignment horizontal="center" vertical="center" wrapText="1"/>
    </xf>
    <xf numFmtId="0" fontId="29" fillId="0" borderId="18" xfId="4" applyFont="1" applyBorder="1" applyAlignment="1">
      <alignment horizontal="center" wrapText="1"/>
    </xf>
    <xf numFmtId="0" fontId="29" fillId="0" borderId="10" xfId="4" applyFont="1" applyBorder="1" applyAlignment="1">
      <alignment horizontal="left" wrapText="1"/>
    </xf>
    <xf numFmtId="0" fontId="29" fillId="13" borderId="10" xfId="4" applyFont="1" applyFill="1" applyBorder="1" applyAlignment="1">
      <alignment horizontal="center" wrapText="1"/>
    </xf>
    <xf numFmtId="0" fontId="29" fillId="13" borderId="10" xfId="4" applyFont="1" applyFill="1" applyBorder="1" applyAlignment="1">
      <alignment horizontal="left" wrapText="1"/>
    </xf>
    <xf numFmtId="0" fontId="29" fillId="0" borderId="10" xfId="4" applyFont="1" applyBorder="1" applyAlignment="1">
      <alignment horizontal="center" wrapText="1"/>
    </xf>
    <xf numFmtId="0" fontId="29" fillId="13" borderId="17" xfId="4" applyFont="1" applyFill="1" applyBorder="1" applyAlignment="1">
      <alignment horizontal="center" wrapText="1"/>
    </xf>
    <xf numFmtId="0" fontId="29" fillId="0" borderId="18" xfId="0" applyFont="1" applyBorder="1" applyAlignment="1">
      <alignment horizontal="center" vertical="center" wrapText="1"/>
    </xf>
    <xf numFmtId="1" fontId="26" fillId="8" borderId="10" xfId="0" applyNumberFormat="1" applyFont="1" applyFill="1" applyBorder="1" applyAlignment="1">
      <alignment horizontal="left" vertical="center" wrapText="1"/>
    </xf>
    <xf numFmtId="1" fontId="24" fillId="7" borderId="10" xfId="2" applyNumberFormat="1" applyFont="1" applyFill="1" applyBorder="1" applyAlignment="1" applyProtection="1">
      <alignment horizontal="center" vertical="center" wrapText="1"/>
      <protection locked="0"/>
    </xf>
    <xf numFmtId="9" fontId="24" fillId="7" borderId="10" xfId="5" applyFont="1" applyFill="1" applyBorder="1" applyAlignment="1" applyProtection="1">
      <alignment horizontal="center" vertical="center"/>
      <protection locked="0"/>
    </xf>
    <xf numFmtId="0" fontId="25" fillId="13" borderId="10" xfId="0" applyFont="1" applyFill="1" applyBorder="1" applyAlignment="1">
      <alignment horizontal="left" vertical="center" wrapText="1"/>
    </xf>
    <xf numFmtId="9" fontId="24" fillId="14" borderId="10" xfId="5" applyFont="1" applyFill="1" applyBorder="1" applyAlignment="1" applyProtection="1">
      <alignment horizontal="center" vertical="center"/>
      <protection locked="0"/>
    </xf>
    <xf numFmtId="0" fontId="50" fillId="19" borderId="10" xfId="0" applyFont="1" applyFill="1" applyBorder="1" applyAlignment="1">
      <alignment horizontal="center" vertical="center" wrapText="1"/>
    </xf>
    <xf numFmtId="0" fontId="29" fillId="0" borderId="10" xfId="0" applyFont="1" applyBorder="1" applyAlignment="1">
      <alignment horizontal="center" vertical="center" wrapText="1"/>
    </xf>
    <xf numFmtId="0" fontId="29" fillId="19" borderId="10" xfId="0" applyFont="1" applyFill="1" applyBorder="1" applyAlignment="1">
      <alignment horizontal="center" vertical="center" wrapText="1"/>
    </xf>
    <xf numFmtId="0" fontId="25" fillId="0" borderId="10" xfId="0" applyFont="1" applyBorder="1" applyAlignment="1">
      <alignment horizontal="left" vertical="center" wrapText="1"/>
    </xf>
    <xf numFmtId="9" fontId="24" fillId="0" borderId="10" xfId="5" applyFont="1" applyFill="1" applyBorder="1" applyAlignment="1" applyProtection="1">
      <alignment horizontal="center" vertical="center"/>
      <protection locked="0"/>
    </xf>
    <xf numFmtId="0" fontId="29" fillId="13" borderId="17" xfId="0" applyFont="1" applyFill="1" applyBorder="1" applyAlignment="1">
      <alignment horizontal="center" vertical="center" wrapText="1"/>
    </xf>
    <xf numFmtId="1" fontId="24" fillId="0" borderId="10" xfId="0" applyNumberFormat="1" applyFont="1" applyBorder="1" applyAlignment="1">
      <alignment horizontal="center"/>
    </xf>
    <xf numFmtId="0" fontId="50" fillId="19" borderId="17" xfId="0" applyFont="1" applyFill="1" applyBorder="1" applyAlignment="1">
      <alignment horizontal="center" vertical="center" wrapText="1"/>
    </xf>
    <xf numFmtId="0" fontId="29" fillId="8" borderId="17" xfId="0" applyFont="1" applyFill="1" applyBorder="1" applyAlignment="1">
      <alignment horizontal="center" vertical="center" wrapText="1"/>
    </xf>
    <xf numFmtId="0" fontId="49" fillId="19" borderId="10" xfId="0" applyFont="1" applyFill="1" applyBorder="1" applyAlignment="1">
      <alignment horizontal="center" vertical="center"/>
    </xf>
    <xf numFmtId="0" fontId="29" fillId="0" borderId="17" xfId="0" applyFont="1" applyBorder="1" applyAlignment="1">
      <alignment horizontal="center" vertical="center" wrapText="1"/>
    </xf>
    <xf numFmtId="0" fontId="49" fillId="19" borderId="18" xfId="0" applyFont="1" applyFill="1" applyBorder="1" applyAlignment="1">
      <alignment horizontal="center" vertical="center"/>
    </xf>
    <xf numFmtId="9" fontId="24" fillId="11" borderId="10" xfId="5" applyFont="1" applyFill="1" applyBorder="1" applyAlignment="1" applyProtection="1">
      <alignment horizontal="center" vertical="center"/>
      <protection locked="0"/>
    </xf>
    <xf numFmtId="0" fontId="26" fillId="20" borderId="10" xfId="0" applyFont="1" applyFill="1" applyBorder="1" applyAlignment="1">
      <alignment horizontal="center" vertical="center" wrapText="1"/>
    </xf>
    <xf numFmtId="1" fontId="26" fillId="20" borderId="10" xfId="0" applyNumberFormat="1" applyFont="1" applyFill="1" applyBorder="1" applyAlignment="1">
      <alignment horizontal="left" vertical="center" wrapText="1"/>
    </xf>
    <xf numFmtId="0" fontId="27" fillId="20" borderId="10" xfId="1" applyFont="1" applyFill="1" applyBorder="1" applyAlignment="1">
      <alignment horizontal="center" vertical="center"/>
    </xf>
    <xf numFmtId="1" fontId="24" fillId="21" borderId="10" xfId="2" applyNumberFormat="1" applyFont="1" applyFill="1" applyBorder="1" applyAlignment="1" applyProtection="1">
      <alignment horizontal="center" vertical="center" wrapText="1"/>
      <protection locked="0"/>
    </xf>
    <xf numFmtId="9" fontId="24" fillId="21" borderId="10" xfId="5" applyFont="1" applyFill="1" applyBorder="1" applyAlignment="1" applyProtection="1">
      <alignment horizontal="center" vertical="center"/>
      <protection locked="0"/>
    </xf>
    <xf numFmtId="0" fontId="24" fillId="21" borderId="10" xfId="3" applyFont="1" applyFill="1" applyBorder="1" applyAlignment="1" applyProtection="1">
      <alignment horizontal="center" vertical="center" wrapText="1"/>
      <protection locked="0"/>
    </xf>
    <xf numFmtId="9" fontId="24" fillId="9" borderId="10" xfId="5" applyFont="1" applyFill="1" applyBorder="1" applyAlignment="1" applyProtection="1">
      <alignment horizontal="center" vertical="center"/>
      <protection locked="0"/>
    </xf>
    <xf numFmtId="9" fontId="24" fillId="13" borderId="10" xfId="5" applyFont="1" applyFill="1" applyBorder="1" applyAlignment="1" applyProtection="1">
      <alignment horizontal="center" vertical="center"/>
      <protection locked="0"/>
    </xf>
    <xf numFmtId="9" fontId="30" fillId="4" borderId="10" xfId="5" applyFont="1" applyFill="1" applyBorder="1" applyAlignment="1" applyProtection="1">
      <alignment horizontal="center" vertical="center"/>
    </xf>
    <xf numFmtId="9" fontId="14" fillId="0" borderId="10" xfId="5" applyFont="1" applyBorder="1" applyAlignment="1">
      <alignment horizontal="center" vertical="center"/>
    </xf>
    <xf numFmtId="0" fontId="34" fillId="17" borderId="31" xfId="5" applyNumberFormat="1" applyFont="1" applyFill="1" applyBorder="1" applyAlignment="1">
      <alignment horizontal="center"/>
    </xf>
    <xf numFmtId="9" fontId="34" fillId="17" borderId="31" xfId="5" applyFont="1" applyFill="1" applyBorder="1" applyAlignment="1">
      <alignment horizontal="center"/>
    </xf>
    <xf numFmtId="0" fontId="46" fillId="4" borderId="18" xfId="1" applyFont="1" applyFill="1" applyBorder="1" applyAlignment="1">
      <alignment horizontal="center" vertical="center"/>
    </xf>
    <xf numFmtId="0" fontId="34" fillId="17" borderId="0" xfId="5" applyNumberFormat="1" applyFont="1" applyFill="1" applyAlignment="1">
      <alignment horizontal="center"/>
    </xf>
    <xf numFmtId="9" fontId="34" fillId="17" borderId="0" xfId="5" applyFont="1" applyFill="1" applyAlignment="1">
      <alignment horizontal="center"/>
    </xf>
    <xf numFmtId="1" fontId="52" fillId="19" borderId="10" xfId="0" applyNumberFormat="1" applyFont="1" applyFill="1" applyBorder="1" applyAlignment="1">
      <alignment horizontal="center"/>
    </xf>
    <xf numFmtId="0" fontId="38" fillId="19" borderId="10" xfId="0" applyFont="1" applyFill="1" applyBorder="1" applyAlignment="1">
      <alignment horizontal="center" vertical="center" wrapText="1"/>
    </xf>
    <xf numFmtId="1" fontId="26" fillId="0" borderId="10" xfId="0" applyNumberFormat="1" applyFont="1" applyBorder="1" applyAlignment="1">
      <alignment horizontal="left" vertical="center" wrapText="1"/>
    </xf>
    <xf numFmtId="0" fontId="21" fillId="23" borderId="10" xfId="0" applyFont="1" applyFill="1" applyBorder="1" applyAlignment="1">
      <alignment horizontal="center" vertical="center"/>
    </xf>
    <xf numFmtId="0" fontId="37" fillId="15" borderId="23" xfId="7" applyFont="1" applyFill="1" applyBorder="1" applyAlignment="1">
      <alignment horizontal="left" vertical="center"/>
    </xf>
    <xf numFmtId="167" fontId="36" fillId="15" borderId="22" xfId="7" applyNumberFormat="1" applyFont="1" applyFill="1" applyBorder="1"/>
    <xf numFmtId="0" fontId="36" fillId="15" borderId="0" xfId="7" applyFont="1" applyFill="1"/>
    <xf numFmtId="0" fontId="2" fillId="8" borderId="0" xfId="7" applyFill="1"/>
    <xf numFmtId="0" fontId="37" fillId="15" borderId="0" xfId="7" applyFont="1" applyFill="1" applyAlignment="1">
      <alignment horizontal="left" vertical="center"/>
    </xf>
    <xf numFmtId="0" fontId="36" fillId="15" borderId="25" xfId="7" applyFont="1" applyFill="1" applyBorder="1"/>
    <xf numFmtId="0" fontId="36" fillId="15" borderId="0" xfId="7" applyFont="1" applyFill="1" applyAlignment="1">
      <alignment horizontal="right"/>
    </xf>
    <xf numFmtId="0" fontId="36" fillId="15" borderId="28" xfId="7" applyFont="1" applyFill="1" applyBorder="1" applyAlignment="1">
      <alignment horizontal="right"/>
    </xf>
    <xf numFmtId="0" fontId="36" fillId="15" borderId="28" xfId="7" applyFont="1" applyFill="1" applyBorder="1"/>
    <xf numFmtId="0" fontId="36" fillId="15" borderId="27" xfId="7" applyFont="1" applyFill="1" applyBorder="1"/>
    <xf numFmtId="0" fontId="36" fillId="8" borderId="0" xfId="7" applyFont="1" applyFill="1"/>
    <xf numFmtId="0" fontId="36" fillId="16" borderId="0" xfId="7" applyFont="1" applyFill="1"/>
    <xf numFmtId="168" fontId="39" fillId="17" borderId="0" xfId="7" applyNumberFormat="1" applyFont="1" applyFill="1" applyAlignment="1">
      <alignment horizontal="left"/>
    </xf>
    <xf numFmtId="0" fontId="36" fillId="17" borderId="0" xfId="7" applyFont="1" applyFill="1"/>
    <xf numFmtId="0" fontId="36" fillId="15" borderId="29" xfId="7" applyFont="1" applyFill="1" applyBorder="1"/>
    <xf numFmtId="0" fontId="36" fillId="15" borderId="30" xfId="7" applyFont="1" applyFill="1" applyBorder="1"/>
    <xf numFmtId="0" fontId="36" fillId="15" borderId="0" xfId="7" applyFont="1" applyFill="1" applyAlignment="1">
      <alignment horizontal="left"/>
    </xf>
    <xf numFmtId="0" fontId="2" fillId="16" borderId="0" xfId="7" applyFill="1" applyAlignment="1">
      <alignment vertical="top"/>
    </xf>
    <xf numFmtId="0" fontId="36" fillId="17" borderId="0" xfId="7" applyFont="1" applyFill="1" applyAlignment="1">
      <alignment vertical="top"/>
    </xf>
    <xf numFmtId="0" fontId="36" fillId="15" borderId="29" xfId="7" applyFont="1" applyFill="1" applyBorder="1" applyAlignment="1">
      <alignment vertical="top"/>
    </xf>
    <xf numFmtId="0" fontId="36" fillId="15" borderId="30" xfId="7" applyFont="1" applyFill="1" applyBorder="1" applyAlignment="1">
      <alignment vertical="top"/>
    </xf>
    <xf numFmtId="0" fontId="36" fillId="15" borderId="0" xfId="7" applyFont="1" applyFill="1" applyAlignment="1">
      <alignment vertical="top"/>
    </xf>
    <xf numFmtId="0" fontId="2" fillId="8" borderId="0" xfId="7" applyFill="1" applyAlignment="1">
      <alignment vertical="top"/>
    </xf>
    <xf numFmtId="0" fontId="35" fillId="8" borderId="0" xfId="7" applyFont="1" applyFill="1" applyAlignment="1">
      <alignment horizontal="center" vertical="top"/>
    </xf>
    <xf numFmtId="0" fontId="40" fillId="8" borderId="0" xfId="7" applyFont="1" applyFill="1" applyAlignment="1">
      <alignment vertical="top"/>
    </xf>
    <xf numFmtId="0" fontId="41" fillId="8" borderId="0" xfId="7" applyFont="1" applyFill="1" applyAlignment="1">
      <alignment horizontal="right" vertical="top"/>
    </xf>
    <xf numFmtId="0" fontId="2" fillId="8" borderId="0" xfId="7" applyFill="1" applyAlignment="1">
      <alignment horizontal="center" vertical="top"/>
    </xf>
    <xf numFmtId="0" fontId="35" fillId="8" borderId="0" xfId="7" applyFont="1" applyFill="1" applyAlignment="1">
      <alignment horizontal="left" vertical="top" wrapText="1"/>
    </xf>
    <xf numFmtId="0" fontId="2" fillId="7" borderId="0" xfId="7" applyFill="1" applyAlignment="1">
      <alignment horizontal="left" vertical="top" wrapText="1"/>
    </xf>
    <xf numFmtId="0" fontId="40" fillId="0" borderId="0" xfId="7" applyFont="1" applyAlignment="1">
      <alignment vertical="top"/>
    </xf>
    <xf numFmtId="0" fontId="40" fillId="22" borderId="0" xfId="7" applyFont="1" applyFill="1" applyAlignment="1">
      <alignment vertical="top"/>
    </xf>
    <xf numFmtId="3" fontId="35" fillId="7" borderId="0" xfId="7" applyNumberFormat="1" applyFont="1" applyFill="1" applyAlignment="1">
      <alignment horizontal="center" vertical="top"/>
    </xf>
    <xf numFmtId="0" fontId="35" fillId="7" borderId="0" xfId="7" applyFont="1" applyFill="1" applyAlignment="1">
      <alignment horizontal="center" vertical="top"/>
    </xf>
    <xf numFmtId="0" fontId="2" fillId="24" borderId="0" xfId="7" applyFill="1" applyAlignment="1">
      <alignment vertical="top"/>
    </xf>
    <xf numFmtId="0" fontId="54" fillId="13" borderId="10" xfId="4" applyFont="1" applyFill="1" applyBorder="1" applyAlignment="1">
      <alignment horizontal="left" wrapText="1"/>
    </xf>
    <xf numFmtId="0" fontId="37" fillId="15" borderId="23" xfId="8" applyFont="1" applyFill="1" applyBorder="1" applyAlignment="1">
      <alignment vertical="center"/>
    </xf>
    <xf numFmtId="167" fontId="36" fillId="15" borderId="22" xfId="8" applyNumberFormat="1" applyFont="1" applyFill="1" applyBorder="1"/>
    <xf numFmtId="0" fontId="36" fillId="15" borderId="28" xfId="8" applyFont="1" applyFill="1" applyBorder="1"/>
    <xf numFmtId="0" fontId="5" fillId="8" borderId="0" xfId="8" applyFill="1"/>
    <xf numFmtId="0" fontId="37" fillId="15" borderId="0" xfId="8" applyFont="1" applyFill="1" applyAlignment="1">
      <alignment vertical="center"/>
    </xf>
    <xf numFmtId="0" fontId="36" fillId="15" borderId="0" xfId="8" applyFont="1" applyFill="1" applyAlignment="1">
      <alignment horizontal="left"/>
    </xf>
    <xf numFmtId="0" fontId="36" fillId="15" borderId="0" xfId="8" applyFont="1" applyFill="1"/>
    <xf numFmtId="0" fontId="36" fillId="15" borderId="25" xfId="8" applyFont="1" applyFill="1" applyBorder="1"/>
    <xf numFmtId="0" fontId="36" fillId="15" borderId="28" xfId="8" applyFont="1" applyFill="1" applyBorder="1" applyAlignment="1">
      <alignment horizontal="left"/>
    </xf>
    <xf numFmtId="0" fontId="38" fillId="15" borderId="28" xfId="8" applyFont="1" applyFill="1" applyBorder="1"/>
    <xf numFmtId="0" fontId="36" fillId="15" borderId="27" xfId="8" applyFont="1" applyFill="1" applyBorder="1"/>
    <xf numFmtId="0" fontId="19" fillId="0" borderId="0" xfId="8" applyFont="1"/>
    <xf numFmtId="0" fontId="9" fillId="0" borderId="0" xfId="8" applyFont="1" applyAlignment="1">
      <alignment horizontal="center" vertical="center"/>
    </xf>
    <xf numFmtId="0" fontId="18" fillId="0" borderId="0" xfId="8" applyFont="1" applyAlignment="1">
      <alignment horizontal="center" vertical="center"/>
    </xf>
    <xf numFmtId="167" fontId="39" fillId="17" borderId="31" xfId="8" applyNumberFormat="1" applyFont="1" applyFill="1" applyBorder="1" applyAlignment="1">
      <alignment horizontal="center" vertical="center" wrapText="1"/>
    </xf>
    <xf numFmtId="0" fontId="9" fillId="0" borderId="0" xfId="8" applyFont="1" applyAlignment="1">
      <alignment horizontal="left" vertical="center"/>
    </xf>
    <xf numFmtId="14" fontId="11" fillId="0" borderId="0" xfId="8" applyNumberFormat="1" applyFont="1" applyAlignment="1">
      <alignment horizontal="left" vertical="center"/>
    </xf>
    <xf numFmtId="0" fontId="11" fillId="0" borderId="0" xfId="8" applyFont="1" applyAlignment="1">
      <alignment horizontal="left" vertical="center"/>
    </xf>
    <xf numFmtId="168" fontId="39" fillId="17" borderId="10" xfId="8" applyNumberFormat="1" applyFont="1" applyFill="1" applyBorder="1" applyAlignment="1">
      <alignment horizontal="center" vertical="center" wrapText="1"/>
    </xf>
    <xf numFmtId="0" fontId="12" fillId="0" borderId="0" xfId="8" applyFont="1" applyAlignment="1">
      <alignment horizontal="center" vertical="center"/>
    </xf>
    <xf numFmtId="0" fontId="22" fillId="0" borderId="10" xfId="8" applyFont="1" applyBorder="1" applyAlignment="1" applyProtection="1">
      <alignment horizontal="left" vertical="center" wrapText="1"/>
      <protection locked="0"/>
    </xf>
    <xf numFmtId="0" fontId="9" fillId="0" borderId="0" xfId="8" applyFont="1" applyAlignment="1">
      <alignment horizontal="left" vertical="center" wrapText="1"/>
    </xf>
    <xf numFmtId="9" fontId="17" fillId="7" borderId="19" xfId="8" applyNumberFormat="1" applyFont="1" applyFill="1" applyBorder="1" applyAlignment="1">
      <alignment horizontal="center" vertical="center"/>
    </xf>
    <xf numFmtId="9" fontId="17" fillId="7" borderId="18" xfId="8" applyNumberFormat="1" applyFont="1" applyFill="1" applyBorder="1" applyAlignment="1">
      <alignment horizontal="center" vertical="center"/>
    </xf>
    <xf numFmtId="0" fontId="13" fillId="0" borderId="20" xfId="8" applyFont="1" applyBorder="1" applyAlignment="1">
      <alignment horizontal="center" vertical="center"/>
    </xf>
    <xf numFmtId="0" fontId="13" fillId="0" borderId="0" xfId="8" applyFont="1" applyAlignment="1">
      <alignment horizontal="center" vertical="center"/>
    </xf>
    <xf numFmtId="0" fontId="17" fillId="0" borderId="10" xfId="8" applyFont="1" applyBorder="1" applyAlignment="1" applyProtection="1">
      <alignment horizontal="left" vertical="center" wrapText="1"/>
      <protection locked="0"/>
    </xf>
    <xf numFmtId="0" fontId="9" fillId="0" borderId="0" xfId="8" applyFont="1" applyAlignment="1" applyProtection="1">
      <alignment horizontal="left" vertical="center" wrapText="1"/>
      <protection locked="0"/>
    </xf>
    <xf numFmtId="9" fontId="17" fillId="7" borderId="11" xfId="8" applyNumberFormat="1" applyFont="1" applyFill="1" applyBorder="1" applyAlignment="1">
      <alignment horizontal="center" vertical="center"/>
    </xf>
    <xf numFmtId="9" fontId="17" fillId="7" borderId="10" xfId="8" applyNumberFormat="1" applyFont="1" applyFill="1" applyBorder="1" applyAlignment="1">
      <alignment horizontal="center" vertical="center"/>
    </xf>
    <xf numFmtId="0" fontId="13" fillId="0" borderId="12" xfId="8" applyFont="1" applyBorder="1" applyAlignment="1">
      <alignment horizontal="center" vertical="center"/>
    </xf>
    <xf numFmtId="0" fontId="11" fillId="0" borderId="0" xfId="8" applyFont="1" applyAlignment="1" applyProtection="1">
      <alignment horizontal="left" vertical="center" wrapText="1"/>
      <protection locked="0"/>
    </xf>
    <xf numFmtId="167" fontId="17" fillId="0" borderId="10" xfId="8" applyNumberFormat="1" applyFont="1" applyBorder="1" applyAlignment="1" applyProtection="1">
      <alignment horizontal="left" vertical="center" wrapText="1"/>
      <protection locked="0"/>
    </xf>
    <xf numFmtId="9" fontId="17" fillId="7" borderId="13" xfId="8" applyNumberFormat="1" applyFont="1" applyFill="1" applyBorder="1" applyAlignment="1">
      <alignment horizontal="center" vertical="center"/>
    </xf>
    <xf numFmtId="9" fontId="17" fillId="7" borderId="14" xfId="8" applyNumberFormat="1" applyFont="1" applyFill="1" applyBorder="1" applyAlignment="1">
      <alignment horizontal="center" vertical="center"/>
    </xf>
    <xf numFmtId="0" fontId="13" fillId="0" borderId="15" xfId="8" applyFont="1" applyBorder="1" applyAlignment="1">
      <alignment horizontal="center" vertical="center"/>
    </xf>
    <xf numFmtId="0" fontId="17" fillId="0" borderId="10" xfId="8" applyFont="1" applyBorder="1" applyAlignment="1">
      <alignment horizontal="left"/>
    </xf>
    <xf numFmtId="15" fontId="11" fillId="0" borderId="0" xfId="8" applyNumberFormat="1" applyFont="1" applyAlignment="1" applyProtection="1">
      <alignment horizontal="left" vertical="center" wrapText="1"/>
      <protection locked="0"/>
    </xf>
    <xf numFmtId="14" fontId="16" fillId="0" borderId="0" xfId="8" applyNumberFormat="1" applyFont="1" applyAlignment="1">
      <alignment horizontal="left" vertical="center"/>
    </xf>
    <xf numFmtId="0" fontId="16" fillId="0" borderId="0" xfId="8" applyFont="1" applyAlignment="1">
      <alignment horizontal="left" vertical="center"/>
    </xf>
    <xf numFmtId="9" fontId="17" fillId="0" borderId="0" xfId="8" applyNumberFormat="1" applyFont="1" applyAlignment="1">
      <alignment horizontal="center" vertical="center"/>
    </xf>
    <xf numFmtId="0" fontId="39" fillId="0" borderId="0" xfId="8" applyFont="1" applyAlignment="1">
      <alignment vertical="center"/>
    </xf>
    <xf numFmtId="0" fontId="17" fillId="0" borderId="0" xfId="8" applyFont="1" applyAlignment="1">
      <alignment horizontal="left"/>
    </xf>
    <xf numFmtId="168" fontId="39" fillId="17" borderId="31" xfId="8" applyNumberFormat="1" applyFont="1" applyFill="1" applyBorder="1" applyAlignment="1">
      <alignment horizontal="left"/>
    </xf>
    <xf numFmtId="0" fontId="13" fillId="18" borderId="31" xfId="8" applyFont="1" applyFill="1" applyBorder="1" applyAlignment="1">
      <alignment horizontal="center" vertical="center"/>
    </xf>
    <xf numFmtId="0" fontId="19" fillId="0" borderId="0" xfId="8" applyFont="1" applyAlignment="1">
      <alignment horizontal="center" vertical="center"/>
    </xf>
    <xf numFmtId="0" fontId="20" fillId="0" borderId="0" xfId="8" applyFont="1" applyAlignment="1">
      <alignment vertical="center"/>
    </xf>
    <xf numFmtId="0" fontId="20" fillId="0" borderId="0" xfId="8" applyFont="1" applyAlignment="1">
      <alignment vertical="center" wrapText="1"/>
    </xf>
    <xf numFmtId="14" fontId="9" fillId="0" borderId="0" xfId="8" applyNumberFormat="1" applyFont="1" applyAlignment="1">
      <alignment horizontal="left" vertical="center"/>
    </xf>
    <xf numFmtId="0" fontId="9" fillId="0" borderId="0" xfId="8" applyFont="1" applyAlignment="1">
      <alignment vertical="center"/>
    </xf>
    <xf numFmtId="9" fontId="11" fillId="0" borderId="0" xfId="8" applyNumberFormat="1" applyFont="1" applyAlignment="1">
      <alignment horizontal="center" vertical="center"/>
    </xf>
    <xf numFmtId="0" fontId="19" fillId="0" borderId="0" xfId="8" applyFont="1" applyAlignment="1">
      <alignment horizontal="center"/>
    </xf>
    <xf numFmtId="0" fontId="39" fillId="15" borderId="32" xfId="8" applyFont="1" applyFill="1" applyBorder="1" applyAlignment="1">
      <alignment horizontal="center" vertical="center"/>
    </xf>
    <xf numFmtId="0" fontId="39" fillId="15" borderId="31" xfId="8" applyFont="1" applyFill="1" applyBorder="1" applyAlignment="1">
      <alignment horizontal="center" vertical="center" wrapText="1"/>
    </xf>
    <xf numFmtId="0" fontId="39" fillId="15" borderId="31" xfId="8" applyFont="1" applyFill="1" applyBorder="1" applyAlignment="1">
      <alignment horizontal="center" vertical="center"/>
    </xf>
    <xf numFmtId="0" fontId="39" fillId="15" borderId="30" xfId="8" applyFont="1" applyFill="1" applyBorder="1" applyAlignment="1">
      <alignment horizontal="center" vertical="center"/>
    </xf>
    <xf numFmtId="0" fontId="39" fillId="15" borderId="30" xfId="8" applyFont="1" applyFill="1" applyBorder="1" applyAlignment="1">
      <alignment horizontal="center" vertical="center" wrapText="1"/>
    </xf>
    <xf numFmtId="168" fontId="34" fillId="17" borderId="31" xfId="8" applyNumberFormat="1" applyFont="1" applyFill="1" applyBorder="1" applyAlignment="1">
      <alignment horizontal="center"/>
    </xf>
    <xf numFmtId="168" fontId="34" fillId="17" borderId="31" xfId="8" applyNumberFormat="1" applyFont="1" applyFill="1" applyBorder="1" applyAlignment="1">
      <alignment horizontal="center" wrapText="1"/>
    </xf>
    <xf numFmtId="168" fontId="34" fillId="17" borderId="0" xfId="8" applyNumberFormat="1" applyFont="1" applyFill="1" applyAlignment="1">
      <alignment horizontal="center"/>
    </xf>
    <xf numFmtId="0" fontId="42" fillId="0" borderId="10" xfId="8" applyFont="1" applyBorder="1" applyAlignment="1">
      <alignment horizontal="center" vertical="center"/>
    </xf>
    <xf numFmtId="0" fontId="44" fillId="0" borderId="10" xfId="8" applyFont="1" applyBorder="1" applyAlignment="1">
      <alignment horizontal="center" vertical="center"/>
    </xf>
    <xf numFmtId="0" fontId="45" fillId="0" borderId="18" xfId="8" applyFont="1" applyBorder="1" applyAlignment="1">
      <alignment horizontal="center" vertical="center" wrapText="1"/>
    </xf>
    <xf numFmtId="0" fontId="45" fillId="0" borderId="10" xfId="8" applyFont="1" applyBorder="1" applyAlignment="1">
      <alignment horizontal="left" vertical="center"/>
    </xf>
    <xf numFmtId="9" fontId="43" fillId="8" borderId="10" xfId="8" applyNumberFormat="1" applyFont="1" applyFill="1" applyBorder="1" applyAlignment="1">
      <alignment horizontal="center" vertical="center"/>
    </xf>
    <xf numFmtId="0" fontId="43" fillId="0" borderId="10" xfId="8" applyFont="1" applyBorder="1" applyAlignment="1">
      <alignment horizontal="center" vertical="center" wrapText="1"/>
    </xf>
    <xf numFmtId="16" fontId="43" fillId="0" borderId="18" xfId="8" applyNumberFormat="1" applyFont="1" applyBorder="1" applyAlignment="1">
      <alignment horizontal="center" vertical="center"/>
    </xf>
    <xf numFmtId="9" fontId="47" fillId="10" borderId="10" xfId="8" applyNumberFormat="1" applyFont="1" applyFill="1" applyBorder="1" applyAlignment="1" applyProtection="1">
      <alignment horizontal="center" vertical="center"/>
      <protection locked="0"/>
    </xf>
    <xf numFmtId="9" fontId="43" fillId="0" borderId="10" xfId="8" applyNumberFormat="1" applyFont="1" applyBorder="1" applyAlignment="1">
      <alignment horizontal="center" vertical="center" wrapText="1"/>
    </xf>
    <xf numFmtId="0" fontId="43" fillId="8" borderId="10" xfId="8" applyFont="1" applyFill="1" applyBorder="1" applyAlignment="1">
      <alignment horizontal="left" vertical="center" wrapText="1"/>
    </xf>
    <xf numFmtId="0" fontId="43" fillId="8" borderId="10" xfId="8" applyFont="1" applyFill="1" applyBorder="1" applyAlignment="1">
      <alignment horizontal="center" vertical="center" wrapText="1"/>
    </xf>
    <xf numFmtId="9" fontId="43" fillId="0" borderId="10" xfId="8" applyNumberFormat="1" applyFont="1" applyBorder="1" applyAlignment="1">
      <alignment horizontal="center" vertical="center"/>
    </xf>
    <xf numFmtId="0" fontId="42" fillId="13" borderId="10" xfId="8" applyFont="1" applyFill="1" applyBorder="1" applyAlignment="1">
      <alignment horizontal="center" vertical="center"/>
    </xf>
    <xf numFmtId="1" fontId="43" fillId="13" borderId="10" xfId="8" applyNumberFormat="1" applyFont="1" applyFill="1" applyBorder="1" applyAlignment="1">
      <alignment horizontal="center"/>
    </xf>
    <xf numFmtId="0" fontId="44" fillId="13" borderId="10" xfId="8" applyFont="1" applyFill="1" applyBorder="1" applyAlignment="1">
      <alignment horizontal="center" vertical="center"/>
    </xf>
    <xf numFmtId="0" fontId="45" fillId="13" borderId="18" xfId="8" applyFont="1" applyFill="1" applyBorder="1" applyAlignment="1">
      <alignment horizontal="center" vertical="center" wrapText="1"/>
    </xf>
    <xf numFmtId="0" fontId="45" fillId="13" borderId="10" xfId="8" applyFont="1" applyFill="1" applyBorder="1" applyAlignment="1">
      <alignment horizontal="left" vertical="center"/>
    </xf>
    <xf numFmtId="9" fontId="43" fillId="13" borderId="10" xfId="8" applyNumberFormat="1" applyFont="1" applyFill="1" applyBorder="1" applyAlignment="1">
      <alignment horizontal="center" vertical="center"/>
    </xf>
    <xf numFmtId="0" fontId="43" fillId="13" borderId="10" xfId="8" applyFont="1" applyFill="1" applyBorder="1" applyAlignment="1">
      <alignment horizontal="center" vertical="center" wrapText="1"/>
    </xf>
    <xf numFmtId="16" fontId="43" fillId="13" borderId="18" xfId="8" applyNumberFormat="1" applyFont="1" applyFill="1" applyBorder="1" applyAlignment="1">
      <alignment horizontal="center" vertical="center"/>
    </xf>
    <xf numFmtId="9" fontId="43" fillId="13" borderId="10" xfId="8" applyNumberFormat="1" applyFont="1" applyFill="1" applyBorder="1" applyAlignment="1">
      <alignment horizontal="center" vertical="center" wrapText="1"/>
    </xf>
    <xf numFmtId="0" fontId="43" fillId="13" borderId="10" xfId="8" applyFont="1" applyFill="1" applyBorder="1" applyAlignment="1">
      <alignment horizontal="left" vertical="center" wrapText="1"/>
    </xf>
    <xf numFmtId="0" fontId="19" fillId="0" borderId="0" xfId="8" applyFont="1" applyAlignment="1">
      <alignment vertical="distributed"/>
    </xf>
    <xf numFmtId="0" fontId="55" fillId="0" borderId="10" xfId="8" applyFont="1" applyBorder="1" applyAlignment="1">
      <alignment horizontal="center" vertical="center"/>
    </xf>
    <xf numFmtId="0" fontId="5" fillId="0" borderId="37" xfId="8" applyBorder="1" applyAlignment="1">
      <alignment horizontal="center" vertical="center"/>
    </xf>
    <xf numFmtId="0" fontId="19" fillId="0" borderId="0" xfId="8" applyFont="1" applyAlignment="1">
      <alignment wrapText="1"/>
    </xf>
    <xf numFmtId="0" fontId="21" fillId="0" borderId="0" xfId="8" applyFont="1" applyAlignment="1">
      <alignment horizontal="center" vertical="center"/>
    </xf>
    <xf numFmtId="0" fontId="33" fillId="0" borderId="0" xfId="8" applyFont="1"/>
    <xf numFmtId="168" fontId="34" fillId="17" borderId="36" xfId="8" applyNumberFormat="1" applyFont="1" applyFill="1" applyBorder="1" applyAlignment="1">
      <alignment horizontal="center"/>
    </xf>
    <xf numFmtId="168" fontId="34" fillId="17" borderId="36" xfId="8" applyNumberFormat="1" applyFont="1" applyFill="1" applyBorder="1" applyAlignment="1">
      <alignment horizontal="center" wrapText="1"/>
    </xf>
    <xf numFmtId="0" fontId="42" fillId="0" borderId="18" xfId="8" applyFont="1" applyBorder="1" applyAlignment="1">
      <alignment horizontal="center" vertical="center"/>
    </xf>
    <xf numFmtId="1" fontId="43" fillId="0" borderId="18" xfId="8" applyNumberFormat="1" applyFont="1" applyBorder="1" applyAlignment="1">
      <alignment horizontal="center"/>
    </xf>
    <xf numFmtId="0" fontId="44" fillId="0" borderId="18" xfId="8" applyFont="1" applyBorder="1" applyAlignment="1">
      <alignment horizontal="center" vertical="center"/>
    </xf>
    <xf numFmtId="0" fontId="45" fillId="0" borderId="18" xfId="8" applyFont="1" applyBorder="1" applyAlignment="1">
      <alignment horizontal="left" vertical="center"/>
    </xf>
    <xf numFmtId="9" fontId="43" fillId="0" borderId="18" xfId="8" applyNumberFormat="1" applyFont="1" applyBorder="1" applyAlignment="1">
      <alignment horizontal="center" vertical="center"/>
    </xf>
    <xf numFmtId="0" fontId="43" fillId="0" borderId="18" xfId="8" applyFont="1" applyBorder="1" applyAlignment="1">
      <alignment horizontal="center" vertical="center" wrapText="1"/>
    </xf>
    <xf numFmtId="9" fontId="47" fillId="10" borderId="18" xfId="8" applyNumberFormat="1" applyFont="1" applyFill="1" applyBorder="1" applyAlignment="1" applyProtection="1">
      <alignment horizontal="center" vertical="center"/>
      <protection locked="0"/>
    </xf>
    <xf numFmtId="9" fontId="43" fillId="0" borderId="18" xfId="8" applyNumberFormat="1" applyFont="1" applyBorder="1" applyAlignment="1">
      <alignment horizontal="center" vertical="center" wrapText="1"/>
    </xf>
    <xf numFmtId="0" fontId="43" fillId="0" borderId="18" xfId="8" applyFont="1" applyBorder="1" applyAlignment="1">
      <alignment horizontal="center" vertical="center"/>
    </xf>
    <xf numFmtId="0" fontId="43" fillId="13" borderId="10" xfId="8" applyFont="1" applyFill="1" applyBorder="1" applyAlignment="1">
      <alignment horizontal="center" vertical="center"/>
    </xf>
    <xf numFmtId="0" fontId="14" fillId="0" borderId="0" xfId="8" applyFont="1"/>
    <xf numFmtId="166" fontId="14" fillId="0" borderId="0" xfId="8" applyNumberFormat="1" applyFont="1"/>
    <xf numFmtId="0" fontId="14" fillId="0" borderId="0" xfId="8" applyFont="1" applyAlignment="1">
      <alignment wrapText="1"/>
    </xf>
    <xf numFmtId="0" fontId="14" fillId="0" borderId="0" xfId="8" applyFont="1" applyAlignment="1">
      <alignment horizontal="center" wrapText="1"/>
    </xf>
    <xf numFmtId="0" fontId="14" fillId="0" borderId="0" xfId="8" applyFont="1" applyAlignment="1">
      <alignment horizontal="center"/>
    </xf>
    <xf numFmtId="0" fontId="5" fillId="0" borderId="0" xfId="8"/>
    <xf numFmtId="167" fontId="48" fillId="15" borderId="22" xfId="8" applyNumberFormat="1" applyFont="1" applyFill="1" applyBorder="1" applyAlignment="1">
      <alignment horizontal="center" vertical="center"/>
    </xf>
    <xf numFmtId="167" fontId="48" fillId="15" borderId="22" xfId="8" applyNumberFormat="1" applyFont="1" applyFill="1" applyBorder="1" applyAlignment="1">
      <alignment horizontal="center" vertical="center" wrapText="1"/>
    </xf>
    <xf numFmtId="0" fontId="14" fillId="8" borderId="10" xfId="8" applyFont="1" applyFill="1" applyBorder="1" applyAlignment="1">
      <alignment horizontal="center" vertical="center"/>
    </xf>
    <xf numFmtId="0" fontId="14" fillId="8" borderId="10" xfId="8" applyFont="1" applyFill="1" applyBorder="1"/>
    <xf numFmtId="166" fontId="14" fillId="0" borderId="16" xfId="8" applyNumberFormat="1" applyFont="1" applyBorder="1" applyAlignment="1">
      <alignment vertical="center"/>
    </xf>
    <xf numFmtId="0" fontId="14" fillId="8" borderId="16" xfId="8" applyFont="1" applyFill="1" applyBorder="1" applyAlignment="1">
      <alignment horizontal="center" vertical="center"/>
    </xf>
    <xf numFmtId="0" fontId="14" fillId="0" borderId="16" xfId="8" applyFont="1" applyBorder="1" applyAlignment="1">
      <alignment vertical="center"/>
    </xf>
    <xf numFmtId="0" fontId="14" fillId="8" borderId="10" xfId="8" applyFont="1" applyFill="1" applyBorder="1" applyAlignment="1">
      <alignment horizontal="justify" wrapText="1"/>
    </xf>
    <xf numFmtId="0" fontId="14" fillId="8" borderId="10" xfId="8" applyFont="1" applyFill="1" applyBorder="1" applyAlignment="1">
      <alignment horizontal="center" wrapText="1"/>
    </xf>
    <xf numFmtId="0" fontId="14" fillId="0" borderId="10" xfId="8" applyFont="1" applyBorder="1" applyAlignment="1">
      <alignment vertical="center" wrapText="1"/>
    </xf>
    <xf numFmtId="0" fontId="14" fillId="0" borderId="10" xfId="8" applyFont="1" applyBorder="1" applyAlignment="1">
      <alignment horizontal="center"/>
    </xf>
    <xf numFmtId="9" fontId="14" fillId="0" borderId="10" xfId="8" applyNumberFormat="1" applyFont="1" applyBorder="1" applyAlignment="1">
      <alignment horizontal="center"/>
    </xf>
    <xf numFmtId="17" fontId="14" fillId="0" borderId="10" xfId="8" applyNumberFormat="1" applyFont="1" applyBorder="1" applyAlignment="1">
      <alignment horizontal="center"/>
    </xf>
    <xf numFmtId="0" fontId="14" fillId="8" borderId="10" xfId="8" applyFont="1" applyFill="1" applyBorder="1" applyAlignment="1">
      <alignment horizontal="justify" vertical="center" wrapText="1"/>
    </xf>
    <xf numFmtId="0" fontId="14" fillId="0" borderId="16" xfId="8" applyFont="1" applyBorder="1" applyAlignment="1">
      <alignment horizontal="center" vertical="center"/>
    </xf>
    <xf numFmtId="0" fontId="14" fillId="8" borderId="10" xfId="8" applyFont="1" applyFill="1" applyBorder="1" applyAlignment="1">
      <alignment horizontal="center" vertical="center" wrapText="1"/>
    </xf>
    <xf numFmtId="0" fontId="14" fillId="0" borderId="10" xfId="8" applyFont="1" applyBorder="1" applyAlignment="1">
      <alignment horizontal="center" vertical="center"/>
    </xf>
    <xf numFmtId="9" fontId="14" fillId="0" borderId="10" xfId="8" applyNumberFormat="1" applyFont="1" applyBorder="1" applyAlignment="1">
      <alignment horizontal="center" vertical="center"/>
    </xf>
    <xf numFmtId="0" fontId="14" fillId="8" borderId="16" xfId="8" applyFont="1" applyFill="1" applyBorder="1" applyAlignment="1">
      <alignment vertical="center"/>
    </xf>
    <xf numFmtId="0" fontId="14" fillId="8" borderId="10" xfId="8" applyFont="1" applyFill="1" applyBorder="1" applyAlignment="1">
      <alignment vertical="center"/>
    </xf>
    <xf numFmtId="166" fontId="14" fillId="8" borderId="16" xfId="8" applyNumberFormat="1" applyFont="1" applyFill="1" applyBorder="1" applyAlignment="1">
      <alignment vertical="center"/>
    </xf>
    <xf numFmtId="0" fontId="14" fillId="0" borderId="10" xfId="8" applyFont="1" applyBorder="1" applyAlignment="1">
      <alignment horizontal="center" vertical="center" wrapText="1"/>
    </xf>
    <xf numFmtId="0" fontId="14" fillId="0" borderId="10" xfId="8" applyFont="1" applyBorder="1" applyAlignment="1">
      <alignment horizontal="center" wrapText="1"/>
    </xf>
    <xf numFmtId="14" fontId="14" fillId="0" borderId="10" xfId="8" applyNumberFormat="1" applyFont="1" applyBorder="1" applyAlignment="1">
      <alignment horizontal="center" vertical="center"/>
    </xf>
    <xf numFmtId="16" fontId="14" fillId="0" borderId="10" xfId="8" applyNumberFormat="1" applyFont="1" applyBorder="1" applyAlignment="1">
      <alignment horizontal="center"/>
    </xf>
    <xf numFmtId="0" fontId="14" fillId="0" borderId="10" xfId="8" applyFont="1" applyBorder="1" applyAlignment="1">
      <alignment wrapText="1"/>
    </xf>
    <xf numFmtId="0" fontId="14" fillId="0" borderId="10" xfId="8" applyFont="1" applyBorder="1"/>
    <xf numFmtId="166" fontId="14" fillId="0" borderId="10" xfId="8" applyNumberFormat="1" applyFont="1" applyBorder="1" applyAlignment="1">
      <alignment vertical="center"/>
    </xf>
    <xf numFmtId="0" fontId="14" fillId="0" borderId="10" xfId="8" applyFont="1" applyBorder="1" applyAlignment="1">
      <alignment horizontal="left" vertical="center" wrapText="1"/>
    </xf>
    <xf numFmtId="0" fontId="14" fillId="0" borderId="10" xfId="8" applyFont="1" applyBorder="1" applyAlignment="1">
      <alignment horizontal="left" wrapText="1"/>
    </xf>
    <xf numFmtId="0" fontId="14" fillId="0" borderId="10" xfId="8" applyFont="1" applyBorder="1" applyAlignment="1">
      <alignment vertical="center"/>
    </xf>
    <xf numFmtId="16" fontId="14" fillId="0" borderId="10" xfId="8" applyNumberFormat="1" applyFont="1" applyBorder="1" applyAlignment="1">
      <alignment horizontal="center" vertical="center"/>
    </xf>
    <xf numFmtId="0" fontId="14" fillId="0" borderId="0" xfId="8" applyFont="1" applyAlignment="1">
      <alignment vertical="center"/>
    </xf>
    <xf numFmtId="166" fontId="14" fillId="0" borderId="0" xfId="8" applyNumberFormat="1" applyFont="1" applyAlignment="1">
      <alignment vertical="center"/>
    </xf>
    <xf numFmtId="0" fontId="14" fillId="0" borderId="0" xfId="8" applyFont="1" applyAlignment="1">
      <alignment horizontal="center" vertical="center"/>
    </xf>
    <xf numFmtId="0" fontId="14" fillId="0" borderId="0" xfId="8" applyFont="1" applyAlignment="1">
      <alignment vertical="center" wrapText="1"/>
    </xf>
    <xf numFmtId="0" fontId="14" fillId="0" borderId="0" xfId="8" applyFont="1" applyAlignment="1">
      <alignment horizontal="center" vertical="center" wrapText="1"/>
    </xf>
    <xf numFmtId="0" fontId="0" fillId="25" borderId="38" xfId="0" applyFill="1" applyBorder="1" applyAlignment="1">
      <alignment horizontal="center" vertical="center"/>
    </xf>
    <xf numFmtId="0" fontId="26" fillId="0" borderId="10" xfId="0" applyFont="1" applyBorder="1" applyAlignment="1">
      <alignment horizontal="center" vertical="center" wrapText="1"/>
    </xf>
    <xf numFmtId="0" fontId="26" fillId="8" borderId="10" xfId="0" applyFont="1" applyFill="1" applyBorder="1" applyAlignment="1">
      <alignment horizontal="left" vertical="center" wrapText="1"/>
    </xf>
    <xf numFmtId="0" fontId="26" fillId="8" borderId="10" xfId="0" applyFont="1" applyFill="1" applyBorder="1" applyAlignment="1">
      <alignment vertical="center"/>
    </xf>
    <xf numFmtId="0" fontId="25" fillId="8" borderId="10" xfId="0" applyFont="1" applyFill="1" applyBorder="1" applyAlignment="1">
      <alignment vertical="center" wrapText="1"/>
    </xf>
    <xf numFmtId="0" fontId="29" fillId="0" borderId="10" xfId="0" applyFont="1" applyBorder="1" applyAlignment="1">
      <alignment horizontal="left"/>
    </xf>
    <xf numFmtId="0" fontId="29" fillId="8" borderId="10" xfId="0" applyFont="1" applyFill="1" applyBorder="1" applyAlignment="1">
      <alignment horizontal="left" vertical="center" wrapText="1"/>
    </xf>
    <xf numFmtId="0" fontId="29" fillId="8" borderId="10" xfId="0" applyFont="1" applyFill="1" applyBorder="1" applyAlignment="1">
      <alignment horizontal="center" vertical="center"/>
    </xf>
    <xf numFmtId="0" fontId="26" fillId="8" borderId="10" xfId="0" applyFont="1" applyFill="1" applyBorder="1" applyAlignment="1">
      <alignment horizontal="center" vertical="center"/>
    </xf>
    <xf numFmtId="0" fontId="29" fillId="8" borderId="10" xfId="9" applyNumberFormat="1" applyFont="1" applyFill="1" applyBorder="1" applyAlignment="1">
      <alignment horizontal="center" vertical="center" wrapText="1"/>
    </xf>
    <xf numFmtId="0" fontId="26" fillId="8" borderId="10" xfId="0" applyFont="1" applyFill="1" applyBorder="1" applyAlignment="1">
      <alignment horizontal="center" vertical="center" wrapText="1"/>
    </xf>
    <xf numFmtId="0" fontId="29" fillId="8" borderId="10" xfId="0" applyFont="1" applyFill="1" applyBorder="1" applyAlignment="1">
      <alignment horizontal="center" wrapText="1"/>
    </xf>
    <xf numFmtId="0" fontId="1" fillId="8" borderId="0" xfId="7" applyFont="1" applyFill="1" applyAlignment="1">
      <alignment horizontal="center" vertical="top"/>
    </xf>
    <xf numFmtId="0" fontId="1" fillId="8" borderId="0" xfId="7" applyFont="1" applyFill="1" applyAlignment="1">
      <alignment vertical="top"/>
    </xf>
    <xf numFmtId="0" fontId="1" fillId="7" borderId="0" xfId="7" applyFont="1" applyFill="1" applyAlignment="1">
      <alignment horizontal="left" vertical="top" wrapText="1"/>
    </xf>
    <xf numFmtId="0" fontId="36" fillId="8" borderId="21" xfId="0" applyFont="1" applyFill="1" applyBorder="1" applyAlignment="1">
      <alignment horizontal="center"/>
    </xf>
    <xf numFmtId="0" fontId="36" fillId="8" borderId="23" xfId="0" applyFont="1" applyFill="1" applyBorder="1" applyAlignment="1">
      <alignment horizontal="center"/>
    </xf>
    <xf numFmtId="0" fontId="36" fillId="8" borderId="24" xfId="0" applyFont="1" applyFill="1" applyBorder="1" applyAlignment="1">
      <alignment horizontal="center"/>
    </xf>
    <xf numFmtId="0" fontId="36" fillId="8" borderId="0" xfId="0" applyFont="1" applyFill="1" applyAlignment="1">
      <alignment horizontal="center"/>
    </xf>
    <xf numFmtId="0" fontId="36" fillId="8" borderId="26" xfId="0" applyFont="1" applyFill="1" applyBorder="1" applyAlignment="1">
      <alignment horizontal="center"/>
    </xf>
    <xf numFmtId="0" fontId="36" fillId="8" borderId="28" xfId="0" applyFont="1" applyFill="1" applyBorder="1" applyAlignment="1">
      <alignment horizontal="center"/>
    </xf>
    <xf numFmtId="0" fontId="37" fillId="15" borderId="23" xfId="0" applyFont="1" applyFill="1" applyBorder="1" applyAlignment="1">
      <alignment horizontal="left" vertical="center"/>
    </xf>
    <xf numFmtId="0" fontId="37" fillId="15" borderId="22" xfId="0" applyFont="1" applyFill="1" applyBorder="1" applyAlignment="1">
      <alignment horizontal="left" vertical="center"/>
    </xf>
    <xf numFmtId="0" fontId="37" fillId="15" borderId="0" xfId="0" applyFont="1" applyFill="1" applyAlignment="1">
      <alignment horizontal="left" vertical="center"/>
    </xf>
    <xf numFmtId="0" fontId="37" fillId="15" borderId="25" xfId="0" applyFont="1" applyFill="1" applyBorder="1" applyAlignment="1">
      <alignment horizontal="left" vertical="center"/>
    </xf>
    <xf numFmtId="168" fontId="39" fillId="17" borderId="32" xfId="0" applyNumberFormat="1" applyFont="1" applyFill="1" applyBorder="1" applyAlignment="1">
      <alignment horizontal="center" vertical="center" wrapText="1"/>
    </xf>
    <xf numFmtId="168" fontId="39" fillId="17" borderId="33" xfId="0" applyNumberFormat="1" applyFont="1" applyFill="1" applyBorder="1" applyAlignment="1">
      <alignment horizontal="center" vertical="center" wrapText="1"/>
    </xf>
    <xf numFmtId="168" fontId="39" fillId="17" borderId="10" xfId="0" applyNumberFormat="1" applyFont="1" applyFill="1" applyBorder="1" applyAlignment="1">
      <alignment horizontal="center" vertical="center" wrapText="1"/>
    </xf>
    <xf numFmtId="0" fontId="39" fillId="15" borderId="35" xfId="0" applyFont="1" applyFill="1" applyBorder="1" applyAlignment="1">
      <alignment horizontal="center" vertical="center"/>
    </xf>
    <xf numFmtId="0" fontId="39" fillId="15" borderId="0" xfId="0" applyFont="1" applyFill="1" applyAlignment="1">
      <alignment horizontal="center" vertical="center"/>
    </xf>
    <xf numFmtId="0" fontId="36" fillId="15" borderId="0" xfId="0" applyFont="1" applyFill="1" applyAlignment="1">
      <alignment horizontal="center"/>
    </xf>
    <xf numFmtId="0" fontId="36" fillId="15" borderId="6" xfId="0" applyFont="1" applyFill="1" applyBorder="1" applyAlignment="1">
      <alignment horizontal="center"/>
    </xf>
    <xf numFmtId="0" fontId="24" fillId="20" borderId="10" xfId="0" applyFont="1" applyFill="1" applyBorder="1" applyAlignment="1">
      <alignment horizontal="center" vertical="center" wrapText="1"/>
    </xf>
    <xf numFmtId="0" fontId="36" fillId="8" borderId="21" xfId="8" applyFont="1" applyFill="1" applyBorder="1" applyAlignment="1">
      <alignment horizontal="center"/>
    </xf>
    <xf numFmtId="0" fontId="36" fillId="8" borderId="23" xfId="8" applyFont="1" applyFill="1" applyBorder="1" applyAlignment="1">
      <alignment horizontal="center"/>
    </xf>
    <xf numFmtId="0" fontId="36" fillId="8" borderId="24" xfId="8" applyFont="1" applyFill="1" applyBorder="1" applyAlignment="1">
      <alignment horizontal="center"/>
    </xf>
    <xf numFmtId="0" fontId="36" fillId="8" borderId="0" xfId="8" applyFont="1" applyFill="1" applyAlignment="1">
      <alignment horizontal="center"/>
    </xf>
    <xf numFmtId="0" fontId="36" fillId="8" borderId="26" xfId="8" applyFont="1" applyFill="1" applyBorder="1" applyAlignment="1">
      <alignment horizontal="center"/>
    </xf>
    <xf numFmtId="0" fontId="36" fillId="8" borderId="28" xfId="8" applyFont="1" applyFill="1" applyBorder="1" applyAlignment="1">
      <alignment horizontal="center"/>
    </xf>
    <xf numFmtId="0" fontId="37" fillId="15" borderId="0" xfId="8" applyFont="1" applyFill="1" applyAlignment="1">
      <alignment horizontal="left" vertical="center"/>
    </xf>
    <xf numFmtId="168" fontId="39" fillId="17" borderId="32" xfId="8" applyNumberFormat="1" applyFont="1" applyFill="1" applyBorder="1" applyAlignment="1">
      <alignment horizontal="center" vertical="center" wrapText="1"/>
    </xf>
    <xf numFmtId="168" fontId="39" fillId="17" borderId="33" xfId="8" applyNumberFormat="1" applyFont="1" applyFill="1" applyBorder="1" applyAlignment="1">
      <alignment horizontal="center" vertical="center" wrapText="1"/>
    </xf>
    <xf numFmtId="168" fontId="39" fillId="17" borderId="10" xfId="8" applyNumberFormat="1" applyFont="1" applyFill="1" applyBorder="1" applyAlignment="1">
      <alignment horizontal="center" vertical="center" wrapText="1"/>
    </xf>
    <xf numFmtId="0" fontId="39" fillId="15" borderId="35" xfId="8" applyFont="1" applyFill="1" applyBorder="1" applyAlignment="1">
      <alignment horizontal="center" vertical="center"/>
    </xf>
    <xf numFmtId="0" fontId="39" fillId="15" borderId="0" xfId="8" applyFont="1" applyFill="1" applyAlignment="1">
      <alignment horizontal="center" vertical="center"/>
    </xf>
    <xf numFmtId="168" fontId="36" fillId="15" borderId="0" xfId="8" applyNumberFormat="1" applyFont="1" applyFill="1" applyAlignment="1">
      <alignment horizontal="center"/>
    </xf>
    <xf numFmtId="0" fontId="36" fillId="15" borderId="6" xfId="8" applyFont="1" applyFill="1" applyBorder="1" applyAlignment="1">
      <alignment horizontal="center"/>
    </xf>
    <xf numFmtId="0" fontId="36" fillId="15" borderId="0" xfId="8" applyFont="1" applyFill="1" applyAlignment="1">
      <alignment horizontal="center"/>
    </xf>
    <xf numFmtId="0" fontId="36" fillId="8" borderId="21" xfId="7" applyFont="1" applyFill="1" applyBorder="1" applyAlignment="1">
      <alignment horizontal="center"/>
    </xf>
    <xf numFmtId="0" fontId="36" fillId="8" borderId="22" xfId="7" applyFont="1" applyFill="1" applyBorder="1" applyAlignment="1">
      <alignment horizontal="center"/>
    </xf>
    <xf numFmtId="0" fontId="36" fillId="8" borderId="24" xfId="7" applyFont="1" applyFill="1" applyBorder="1" applyAlignment="1">
      <alignment horizontal="center"/>
    </xf>
    <xf numFmtId="0" fontId="36" fillId="8" borderId="25" xfId="7" applyFont="1" applyFill="1" applyBorder="1" applyAlignment="1">
      <alignment horizontal="center"/>
    </xf>
    <xf numFmtId="0" fontId="36" fillId="8" borderId="26" xfId="7" applyFont="1" applyFill="1" applyBorder="1" applyAlignment="1">
      <alignment horizontal="center"/>
    </xf>
    <xf numFmtId="0" fontId="36" fillId="8" borderId="27" xfId="7" applyFont="1" applyFill="1" applyBorder="1" applyAlignment="1">
      <alignment horizontal="center"/>
    </xf>
    <xf numFmtId="0" fontId="37" fillId="15" borderId="21" xfId="7" applyFont="1" applyFill="1" applyBorder="1" applyAlignment="1">
      <alignment horizontal="left" vertical="center"/>
    </xf>
    <xf numFmtId="0" fontId="37" fillId="15" borderId="23" xfId="7" applyFont="1" applyFill="1" applyBorder="1" applyAlignment="1">
      <alignment horizontal="left" vertical="center"/>
    </xf>
    <xf numFmtId="0" fontId="37" fillId="15" borderId="24" xfId="7" applyFont="1" applyFill="1" applyBorder="1" applyAlignment="1">
      <alignment horizontal="left" vertical="center"/>
    </xf>
    <xf numFmtId="0" fontId="37" fillId="15" borderId="0" xfId="7" applyFont="1" applyFill="1" applyAlignment="1">
      <alignment horizontal="left" vertical="center"/>
    </xf>
    <xf numFmtId="0" fontId="36" fillId="15" borderId="0" xfId="7" applyFont="1" applyFill="1"/>
    <xf numFmtId="0" fontId="38" fillId="15" borderId="28" xfId="7" applyFont="1" applyFill="1" applyBorder="1"/>
    <xf numFmtId="0" fontId="36" fillId="15" borderId="29" xfId="7" applyFont="1" applyFill="1" applyBorder="1" applyAlignment="1">
      <alignment horizontal="center"/>
    </xf>
    <xf numFmtId="0" fontId="36" fillId="15" borderId="30" xfId="7" applyFont="1" applyFill="1" applyBorder="1" applyAlignment="1">
      <alignment horizontal="center"/>
    </xf>
    <xf numFmtId="0" fontId="29" fillId="0" borderId="10" xfId="0" applyFont="1" applyBorder="1" applyAlignment="1">
      <alignment horizontal="center" vertical="center"/>
    </xf>
  </cellXfs>
  <cellStyles count="10">
    <cellStyle name="Entrada" xfId="1" builtinId="20"/>
    <cellStyle name="Hipervínculo" xfId="3" builtinId="8"/>
    <cellStyle name="Millares" xfId="9" builtinId="3"/>
    <cellStyle name="Normal" xfId="0" builtinId="0"/>
    <cellStyle name="Normal 2" xfId="4" xr:uid="{00000000-0005-0000-0000-000003000000}"/>
    <cellStyle name="Normal 2 2" xfId="6" xr:uid="{091DDA57-32F0-4AB4-815D-850B795FDB18}"/>
    <cellStyle name="Normal 3" xfId="7" xr:uid="{BFEF3B80-1BDE-43A4-8CC5-DB25903467F5}"/>
    <cellStyle name="Normal 4" xfId="8" xr:uid="{D5B8420E-3D08-479F-A35E-947C47A424F3}"/>
    <cellStyle name="Percent 2" xfId="5" xr:uid="{7325DE67-683C-4C12-BFB5-1FD730FCEAAE}"/>
    <cellStyle name="Porcentaje 2" xfId="2" xr:uid="{00000000-0005-0000-0000-000005000000}"/>
  </cellStyles>
  <dxfs count="111">
    <dxf>
      <font>
        <b/>
      </font>
      <fill>
        <patternFill>
          <fgColor rgb="FF000000"/>
          <bgColor rgb="FFFFFFFF"/>
        </patternFill>
      </fill>
      <alignment horizontal="center" vertical="top" textRotation="0" wrapText="0" indent="0" justifyLastLine="0" shrinkToFit="0" readingOrder="0"/>
    </dxf>
    <dxf>
      <font>
        <b/>
      </font>
      <fill>
        <patternFill>
          <fgColor rgb="FF000000"/>
          <bgColor rgb="FFFFFFFF"/>
        </patternFill>
      </fill>
      <alignment horizontal="center" vertical="top" textRotation="0" wrapText="0" indent="0" justifyLastLine="0" shrinkToFit="0" readingOrder="0"/>
    </dxf>
    <dxf>
      <font>
        <b val="0"/>
      </font>
      <numFmt numFmtId="0" formatCode="General"/>
      <fill>
        <patternFill>
          <fgColor rgb="FF000000"/>
          <bgColor rgb="FFFFFFFF"/>
        </patternFill>
      </fill>
      <alignment horizontal="left" vertical="top" textRotation="0" wrapText="1" indent="0" justifyLastLine="0" shrinkToFit="0" readingOrder="0"/>
    </dxf>
    <dxf>
      <font>
        <b/>
      </font>
      <fill>
        <patternFill>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0" indent="0" justifyLastLine="0" shrinkToFit="0" readingOrder="0"/>
    </dxf>
    <dxf>
      <font>
        <b val="0"/>
      </font>
      <numFmt numFmtId="0" formatCode="General"/>
      <fill>
        <patternFill>
          <fgColor indexed="64"/>
          <bgColor theme="0"/>
        </patternFill>
      </fill>
      <alignment horizontal="center" vertical="top" textRotation="0" wrapText="0" indent="0" justifyLastLine="0" shrinkToFit="0" readingOrder="0"/>
    </dxf>
    <dxf>
      <font>
        <b val="0"/>
      </font>
      <numFmt numFmtId="0" formatCode="General"/>
      <fill>
        <patternFill>
          <fgColor indexed="64"/>
          <bgColor theme="0"/>
        </patternFill>
      </fill>
      <alignment horizontal="center" vertical="top" textRotation="0" wrapText="0" indent="0" justifyLastLine="0" shrinkToFit="0" readingOrder="0"/>
    </dxf>
    <dxf>
      <font>
        <b val="0"/>
      </font>
      <numFmt numFmtId="0" formatCode="General"/>
      <fill>
        <patternFill>
          <fgColor indexed="64"/>
          <bgColor theme="0"/>
        </patternFill>
      </fill>
      <alignment horizontal="center" vertical="top" textRotation="0" wrapText="0" indent="0" justifyLastLine="0" shrinkToFit="0" readingOrder="0"/>
    </dxf>
    <dxf>
      <font>
        <b val="0"/>
      </font>
      <numFmt numFmtId="0" formatCode="General"/>
      <fill>
        <patternFill>
          <fgColor indexed="64"/>
          <bgColor theme="0"/>
        </patternFill>
      </fill>
      <alignment horizontal="center" vertical="top" textRotation="0" wrapText="0" indent="0" justifyLastLine="0" shrinkToFit="0" readingOrder="0"/>
    </dxf>
    <dxf>
      <font>
        <b val="0"/>
      </font>
      <numFmt numFmtId="0" formatCode="General"/>
      <fill>
        <patternFill>
          <fgColor indexed="64"/>
          <bgColor theme="0"/>
        </patternFill>
      </fill>
      <alignment horizontal="center" vertical="top" textRotation="0" wrapText="0" indent="0" justifyLastLine="0" shrinkToFit="0" readingOrder="0"/>
    </dxf>
    <dxf>
      <font>
        <b val="0"/>
      </font>
      <fill>
        <patternFill>
          <fgColor indexed="64"/>
          <bgColor theme="0"/>
        </patternFill>
      </fill>
      <alignment horizontal="center" vertical="top" textRotation="0" wrapText="0" indent="0" justifyLastLine="0" shrinkToFit="0" readingOrder="0"/>
    </dxf>
    <dxf>
      <font>
        <b val="0"/>
      </font>
      <fill>
        <patternFill>
          <fgColor indexed="64"/>
          <bgColor theme="0"/>
        </patternFill>
      </fill>
      <alignment horizontal="center" vertical="top" textRotation="0" wrapText="0" indent="0" justifyLastLine="0" shrinkToFit="0" readingOrder="0"/>
    </dxf>
    <dxf>
      <font>
        <b val="0"/>
      </font>
      <fill>
        <patternFill>
          <fgColor indexed="64"/>
          <bgColor theme="0"/>
        </patternFill>
      </fill>
      <alignment horizontal="center" vertical="top" textRotation="0" wrapText="0" indent="0" justifyLastLine="0" shrinkToFit="0" readingOrder="0"/>
    </dxf>
    <dxf>
      <font>
        <b val="0"/>
      </font>
      <fill>
        <patternFill>
          <fgColor indexed="64"/>
          <bgColor theme="0"/>
        </patternFill>
      </fill>
      <alignment horizontal="center" vertical="top" textRotation="0" wrapText="0" indent="0" justifyLastLine="0" shrinkToFit="0" readingOrder="0"/>
    </dxf>
    <dxf>
      <font>
        <b/>
        <i val="0"/>
        <strike val="0"/>
        <condense val="0"/>
        <extend val="0"/>
        <outline val="0"/>
        <shadow val="0"/>
        <u val="none"/>
        <vertAlign val="baseline"/>
        <sz val="14"/>
        <color theme="8" tint="-0.499984740745262"/>
        <name val="Calibri"/>
        <family val="2"/>
        <scheme val="minor"/>
      </font>
      <fill>
        <patternFill patternType="solid">
          <fgColor indexed="64"/>
          <bgColor theme="0"/>
        </patternFill>
      </fill>
      <alignment horizontal="right" vertical="top" textRotation="0" wrapText="0" indent="0" justifyLastLine="0" shrinkToFit="0" readingOrder="0"/>
    </dxf>
    <dxf>
      <font>
        <b/>
        <strike val="0"/>
        <outline val="0"/>
        <shadow val="0"/>
        <u val="none"/>
        <vertAlign val="baseline"/>
        <sz val="14"/>
        <color theme="1"/>
        <name val="Calibri"/>
        <family val="2"/>
        <scheme val="minor"/>
      </font>
      <fill>
        <patternFill>
          <fgColor indexed="64"/>
          <bgColor theme="0"/>
        </patternFill>
      </fill>
      <alignment horizontal="general" vertical="top" textRotation="0" wrapText="0" indent="0" justifyLastLine="0" shrinkToFit="0" readingOrder="0"/>
    </dxf>
    <dxf>
      <font>
        <b/>
      </font>
      <fill>
        <patternFill>
          <fgColor indexed="64"/>
          <bgColor theme="0"/>
        </patternFill>
      </fill>
      <alignment horizontal="center" vertical="top" textRotation="0" wrapText="0" indent="0" justifyLastLine="0" shrinkToFit="0" readingOrder="0"/>
    </dxf>
    <dxf>
      <font>
        <b/>
      </font>
      <fill>
        <patternFill>
          <fgColor rgb="FF000000"/>
          <bgColor rgb="FFFFFFFF"/>
        </patternFill>
      </fill>
      <alignment horizontal="center" vertical="top" textRotation="0" wrapText="0" indent="0" justifyLastLine="0" shrinkToFit="0" readingOrder="0"/>
    </dxf>
    <dxf>
      <fill>
        <patternFill patternType="solid">
          <fgColor indexed="64"/>
          <bgColor rgb="FF52ACAE"/>
        </patternFill>
      </fill>
      <alignment horizontal="general" vertical="top" textRotation="0" wrapText="0" indent="0" justifyLastLine="0" shrinkToFit="0" readingOrder="0"/>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auto="1"/>
      </font>
    </dxf>
    <dxf>
      <font>
        <color auto="1"/>
      </font>
    </dxf>
    <dxf>
      <font>
        <color theme="6" tint="0.39994506668294322"/>
      </font>
    </dxf>
    <dxf>
      <font>
        <color auto="1"/>
      </font>
      <fill>
        <patternFill>
          <bgColor rgb="FF92D050"/>
        </patternFill>
      </fill>
    </dxf>
    <dxf>
      <fill>
        <patternFill>
          <bgColor rgb="FFFFC000"/>
        </patternFill>
      </fill>
    </dxf>
    <dxf>
      <fill>
        <patternFill>
          <bgColor rgb="FFFFFF00"/>
        </patternFill>
      </fill>
    </dxf>
    <dxf>
      <fill>
        <patternFill>
          <bgColor rgb="FFFF0000"/>
        </patternFill>
      </fill>
    </dxf>
    <dxf>
      <font>
        <color auto="1"/>
      </font>
    </dxf>
    <dxf>
      <font>
        <color auto="1"/>
      </font>
    </dxf>
    <dxf>
      <font>
        <color theme="6" tint="0.39994506668294322"/>
      </font>
    </dxf>
    <dxf>
      <font>
        <color auto="1"/>
      </font>
      <fill>
        <patternFill>
          <bgColor rgb="FF92D050"/>
        </patternFill>
      </fill>
    </dxf>
    <dxf>
      <fill>
        <patternFill>
          <bgColor rgb="FFFFC000"/>
        </patternFill>
      </fill>
    </dxf>
    <dxf>
      <fill>
        <patternFill>
          <bgColor rgb="FFFFFF00"/>
        </patternFill>
      </fill>
    </dxf>
    <dxf>
      <fill>
        <patternFill>
          <bgColor rgb="FFFF0000"/>
        </patternFill>
      </fill>
    </dxf>
    <dxf>
      <font>
        <color auto="1"/>
      </font>
    </dxf>
    <dxf>
      <font>
        <color auto="1"/>
      </font>
    </dxf>
    <dxf>
      <font>
        <color theme="6" tint="0.39994506668294322"/>
      </font>
    </dxf>
    <dxf>
      <font>
        <color auto="1"/>
      </font>
      <fill>
        <patternFill>
          <bgColor rgb="FF92D050"/>
        </patternFill>
      </fill>
    </dxf>
    <dxf>
      <fill>
        <patternFill>
          <bgColor rgb="FFFFC000"/>
        </patternFill>
      </fill>
    </dxf>
    <dxf>
      <fill>
        <patternFill>
          <bgColor rgb="FFFFFF00"/>
        </patternFill>
      </fill>
    </dxf>
    <dxf>
      <fill>
        <patternFill>
          <bgColor rgb="FFFF0000"/>
        </patternFill>
      </fill>
    </dxf>
    <dxf>
      <font>
        <color auto="1"/>
      </font>
    </dxf>
    <dxf>
      <font>
        <color auto="1"/>
      </font>
    </dxf>
    <dxf>
      <font>
        <color theme="6" tint="0.39994506668294322"/>
      </font>
    </dxf>
    <dxf>
      <font>
        <color auto="1"/>
      </font>
      <fill>
        <patternFill>
          <bgColor rgb="FF92D050"/>
        </patternFill>
      </fill>
    </dxf>
    <dxf>
      <fill>
        <patternFill>
          <bgColor rgb="FFFFC000"/>
        </patternFill>
      </fill>
    </dxf>
    <dxf>
      <fill>
        <patternFill>
          <bgColor rgb="FFFFFF00"/>
        </patternFill>
      </fill>
    </dxf>
    <dxf>
      <fill>
        <patternFill>
          <bgColor rgb="FFFF0000"/>
        </patternFill>
      </fill>
    </dxf>
    <dxf>
      <font>
        <color rgb="FF00B050"/>
      </font>
    </dxf>
    <dxf>
      <font>
        <color rgb="FFFFFF00"/>
      </font>
    </dxf>
    <dxf>
      <font>
        <color rgb="FFFF0000"/>
      </font>
    </dxf>
    <dxf>
      <font>
        <color rgb="FFFF0000"/>
      </font>
    </dxf>
    <dxf>
      <font>
        <color rgb="FFFFFF00"/>
      </font>
    </dxf>
    <dxf>
      <font>
        <color rgb="FF00B050"/>
      </font>
    </dxf>
    <dxf>
      <font>
        <color rgb="FF00B050"/>
      </font>
    </dxf>
    <dxf>
      <font>
        <color rgb="FFFFFF00"/>
      </font>
    </dxf>
    <dxf>
      <font>
        <color rgb="FF00B050"/>
      </font>
    </dxf>
    <dxf>
      <font>
        <color rgb="FFFFFF00"/>
      </font>
    </dxf>
    <dxf>
      <font>
        <color rgb="FFFF0000"/>
      </font>
    </dxf>
    <dxf>
      <font>
        <color rgb="FF00B050"/>
      </font>
    </dxf>
    <dxf>
      <font>
        <color rgb="FFFFFF00"/>
      </font>
    </dxf>
    <dxf>
      <font>
        <color rgb="FFFF0000"/>
      </font>
    </dxf>
    <dxf>
      <font>
        <color rgb="FF00B050"/>
      </font>
    </dxf>
    <dxf>
      <font>
        <color rgb="FFFFFF00"/>
      </font>
    </dxf>
    <dxf>
      <font>
        <color rgb="FFFF0000"/>
      </font>
    </dxf>
    <dxf>
      <font>
        <color rgb="FFFF0000"/>
      </font>
    </dxf>
    <dxf>
      <font>
        <color rgb="FFFFFF00"/>
      </font>
    </dxf>
    <dxf>
      <font>
        <color rgb="FF00B050"/>
      </font>
    </dxf>
    <dxf>
      <font>
        <color rgb="FF00B050"/>
      </font>
    </dxf>
    <dxf>
      <font>
        <color rgb="FFFFFF00"/>
      </font>
    </dxf>
    <dxf>
      <font>
        <color rgb="FF00B050"/>
      </font>
    </dxf>
    <dxf>
      <font>
        <color rgb="FFFFFF00"/>
      </font>
    </dxf>
    <dxf>
      <font>
        <color rgb="FFFF0000"/>
      </font>
    </dxf>
    <dxf>
      <font>
        <color rgb="FF00B050"/>
      </font>
    </dxf>
    <dxf>
      <font>
        <color rgb="FFFFFF00"/>
      </font>
    </dxf>
    <dxf>
      <font>
        <color rgb="FFFF0000"/>
      </font>
    </dxf>
    <dxf>
      <numFmt numFmtId="0" formatCode="General"/>
      <fill>
        <patternFill patternType="none">
          <fgColor indexed="64"/>
          <bgColor indexed="65"/>
        </patternFill>
      </fill>
      <border diagonalUp="0" diagonalDown="0">
        <left/>
        <right style="medium">
          <color indexed="64"/>
        </right>
        <top/>
        <bottom/>
        <vertical/>
        <horizontal/>
      </border>
    </dxf>
    <dxf>
      <numFmt numFmtId="1" formatCode="0"/>
      <fill>
        <patternFill patternType="none">
          <fgColor indexed="64"/>
          <bgColor indexed="65"/>
        </patternFill>
      </fill>
    </dxf>
    <dxf>
      <numFmt numFmtId="1" formatCode="0"/>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19" formatCode="dd/mm/yyyy"/>
      <fill>
        <patternFill patternType="none">
          <fgColor indexed="64"/>
          <bgColor auto="1"/>
        </patternFill>
      </fill>
    </dxf>
    <dxf>
      <numFmt numFmtId="19" formatCode="dd/mm/yyyy"/>
      <fill>
        <patternFill patternType="none">
          <fgColor indexed="64"/>
          <bgColor auto="1"/>
        </patternFill>
      </fill>
    </dxf>
    <dxf>
      <fill>
        <patternFill patternType="none">
          <fgColor indexed="64"/>
          <bgColor auto="1"/>
        </patternFill>
      </fill>
    </dxf>
    <dxf>
      <numFmt numFmtId="165" formatCode="0.0"/>
      <fill>
        <patternFill patternType="none">
          <fgColor indexed="64"/>
          <bgColor indexed="65"/>
        </patternFill>
      </fill>
    </dxf>
    <dxf>
      <fill>
        <patternFill patternType="none">
          <fgColor indexed="64"/>
          <bgColor auto="1"/>
        </patternFill>
      </fill>
    </dxf>
    <dxf>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solid">
          <fgColor indexed="64"/>
          <bgColor theme="9" tint="0.39997558519241921"/>
        </patternFill>
      </fill>
    </dxf>
    <dxf>
      <fill>
        <patternFill patternType="solid">
          <fgColor indexed="64"/>
          <bgColor theme="7" tint="0.79998168889431442"/>
        </patternFill>
      </fill>
    </dxf>
    <dxf>
      <fill>
        <patternFill patternType="solid">
          <fgColor indexed="64"/>
          <bgColor theme="9" tint="0.39997558519241921"/>
        </patternFill>
      </fill>
    </dxf>
    <dxf>
      <font>
        <color rgb="FF00B050"/>
      </font>
    </dxf>
    <dxf>
      <font>
        <color rgb="FFFFFF00"/>
      </font>
    </dxf>
    <dxf>
      <font>
        <color rgb="FFFF0000"/>
      </font>
    </dxf>
    <dxf>
      <font>
        <color rgb="FFFF0000"/>
      </font>
    </dxf>
    <dxf>
      <font>
        <color rgb="FFFFFF00"/>
      </font>
    </dxf>
    <dxf>
      <font>
        <color rgb="FF00B050"/>
      </font>
    </dxf>
    <dxf>
      <font>
        <color rgb="FF00B050"/>
      </font>
    </dxf>
    <dxf>
      <font>
        <color rgb="FFFFFF00"/>
      </font>
    </dxf>
    <dxf>
      <font>
        <color rgb="FF00B050"/>
      </font>
    </dxf>
    <dxf>
      <font>
        <color rgb="FFFFFF00"/>
      </font>
    </dxf>
    <dxf>
      <font>
        <color rgb="FFFF0000"/>
      </font>
    </dxf>
    <dxf>
      <font>
        <color rgb="FF00B050"/>
      </font>
    </dxf>
    <dxf>
      <font>
        <color rgb="FFFFFF00"/>
      </font>
    </dxf>
    <dxf>
      <font>
        <color rgb="FFFF0000"/>
      </font>
    </dxf>
  </dxfs>
  <tableStyles count="0" defaultTableStyle="TableStyleMedium2" defaultPivotStyle="PivotStyleLight16"/>
  <colors>
    <mruColors>
      <color rgb="FF30BA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3"/>
          <c:order val="3"/>
          <c:tx>
            <c:strRef>
              <c:f>Grafico!$F$1</c:f>
              <c:strCache>
                <c:ptCount val="1"/>
                <c:pt idx="0">
                  <c:v>REAL</c:v>
                </c:pt>
              </c:strCache>
            </c:strRef>
          </c:tx>
          <c:spPr>
            <a:solidFill>
              <a:schemeClr val="accent4"/>
            </a:solidFill>
            <a:ln>
              <a:noFill/>
            </a:ln>
            <a:effectLst/>
          </c:spPr>
          <c:invertIfNegative val="0"/>
          <c:cat>
            <c:strRef>
              <c:f>Grafico!$B$2:$B$12</c:f>
              <c:strCache>
                <c:ptCount val="11"/>
                <c:pt idx="0">
                  <c:v>A. PLANIFICACION DEL MANTENIMIENTO</c:v>
                </c:pt>
                <c:pt idx="1">
                  <c:v>B. REVISION Y VALIDACION ACTIVIDADES PROGRAMADAS</c:v>
                </c:pt>
                <c:pt idx="2">
                  <c:v>C. GESTION DE SEGURIDAD Y SALUD</c:v>
                </c:pt>
                <c:pt idx="3">
                  <c:v>D. GESTION MEDIO AMBIENTE</c:v>
                </c:pt>
                <c:pt idx="4">
                  <c:v>E. DOTACIONES DEL MANTENIMIENTO</c:v>
                </c:pt>
                <c:pt idx="5">
                  <c:v>F. GESTION DE REPUESTOS Y MATERIALES</c:v>
                </c:pt>
                <c:pt idx="6">
                  <c:v>G. SERVICIOS AL PERSONAL</c:v>
                </c:pt>
                <c:pt idx="7">
                  <c:v>H. SERVICIOS DE APOYO Y EQUIPOS</c:v>
                </c:pt>
                <c:pt idx="8">
                  <c:v>I. GESTION DE PERSONAS</c:v>
                </c:pt>
                <c:pt idx="9">
                  <c:v>J. GESTION Y CONTROL DE LA EJECUCION DEL MANTENIMIENTO</c:v>
                </c:pt>
                <c:pt idx="10">
                  <c:v>K. GESTION CIERRE MANTENIMIENTO</c:v>
                </c:pt>
              </c:strCache>
            </c:strRef>
          </c:cat>
          <c:val>
            <c:numRef>
              <c:f>Grafico!$F$2:$F$12</c:f>
              <c:numCache>
                <c:formatCode>General</c:formatCode>
                <c:ptCount val="11"/>
                <c:pt idx="0">
                  <c:v>5.7599999999999989</c:v>
                </c:pt>
                <c:pt idx="1">
                  <c:v>10</c:v>
                </c:pt>
                <c:pt idx="2">
                  <c:v>2.73</c:v>
                </c:pt>
                <c:pt idx="3">
                  <c:v>5</c:v>
                </c:pt>
                <c:pt idx="4">
                  <c:v>2.86</c:v>
                </c:pt>
                <c:pt idx="5">
                  <c:v>5.4</c:v>
                </c:pt>
                <c:pt idx="6">
                  <c:v>3.75</c:v>
                </c:pt>
                <c:pt idx="7">
                  <c:v>1</c:v>
                </c:pt>
                <c:pt idx="8">
                  <c:v>0</c:v>
                </c:pt>
                <c:pt idx="9">
                  <c:v>0</c:v>
                </c:pt>
                <c:pt idx="10">
                  <c:v>0</c:v>
                </c:pt>
              </c:numCache>
            </c:numRef>
          </c:val>
          <c:extLst>
            <c:ext xmlns:c16="http://schemas.microsoft.com/office/drawing/2014/chart" uri="{C3380CC4-5D6E-409C-BE32-E72D297353CC}">
              <c16:uniqueId val="{00000000-5D18-448E-9EA1-E3F049EAA9F9}"/>
            </c:ext>
          </c:extLst>
        </c:ser>
        <c:ser>
          <c:idx val="5"/>
          <c:order val="5"/>
          <c:tx>
            <c:strRef>
              <c:f>Grafico!$H$1</c:f>
              <c:strCache>
                <c:ptCount val="1"/>
                <c:pt idx="0">
                  <c:v>Planificado</c:v>
                </c:pt>
              </c:strCache>
            </c:strRef>
          </c:tx>
          <c:spPr>
            <a:solidFill>
              <a:schemeClr val="accent6"/>
            </a:solidFill>
            <a:ln>
              <a:noFill/>
            </a:ln>
            <a:effectLst/>
          </c:spPr>
          <c:invertIfNegative val="0"/>
          <c:cat>
            <c:strRef>
              <c:f>Grafico!$B$2:$B$12</c:f>
              <c:strCache>
                <c:ptCount val="11"/>
                <c:pt idx="0">
                  <c:v>A. PLANIFICACION DEL MANTENIMIENTO</c:v>
                </c:pt>
                <c:pt idx="1">
                  <c:v>B. REVISION Y VALIDACION ACTIVIDADES PROGRAMADAS</c:v>
                </c:pt>
                <c:pt idx="2">
                  <c:v>C. GESTION DE SEGURIDAD Y SALUD</c:v>
                </c:pt>
                <c:pt idx="3">
                  <c:v>D. GESTION MEDIO AMBIENTE</c:v>
                </c:pt>
                <c:pt idx="4">
                  <c:v>E. DOTACIONES DEL MANTENIMIENTO</c:v>
                </c:pt>
                <c:pt idx="5">
                  <c:v>F. GESTION DE REPUESTOS Y MATERIALES</c:v>
                </c:pt>
                <c:pt idx="6">
                  <c:v>G. SERVICIOS AL PERSONAL</c:v>
                </c:pt>
                <c:pt idx="7">
                  <c:v>H. SERVICIOS DE APOYO Y EQUIPOS</c:v>
                </c:pt>
                <c:pt idx="8">
                  <c:v>I. GESTION DE PERSONAS</c:v>
                </c:pt>
                <c:pt idx="9">
                  <c:v>J. GESTION Y CONTROL DE LA EJECUCION DEL MANTENIMIENTO</c:v>
                </c:pt>
                <c:pt idx="10">
                  <c:v>K. GESTION CIERRE MANTENIMIENTO</c:v>
                </c:pt>
              </c:strCache>
            </c:strRef>
          </c:cat>
          <c:val>
            <c:numRef>
              <c:f>Grafico!$H$2:$H$12</c:f>
              <c:numCache>
                <c:formatCode>General</c:formatCode>
                <c:ptCount val="11"/>
                <c:pt idx="0">
                  <c:v>9.9999999999999982</c:v>
                </c:pt>
                <c:pt idx="1">
                  <c:v>10</c:v>
                </c:pt>
                <c:pt idx="2">
                  <c:v>10.000000000000002</c:v>
                </c:pt>
                <c:pt idx="3">
                  <c:v>10</c:v>
                </c:pt>
                <c:pt idx="4">
                  <c:v>10.000000000000002</c:v>
                </c:pt>
                <c:pt idx="5">
                  <c:v>10.000000000000002</c:v>
                </c:pt>
                <c:pt idx="6">
                  <c:v>5</c:v>
                </c:pt>
                <c:pt idx="7">
                  <c:v>10.000000000000002</c:v>
                </c:pt>
                <c:pt idx="8">
                  <c:v>10</c:v>
                </c:pt>
                <c:pt idx="9">
                  <c:v>10</c:v>
                </c:pt>
                <c:pt idx="10">
                  <c:v>4.9999999999999991</c:v>
                </c:pt>
              </c:numCache>
            </c:numRef>
          </c:val>
          <c:extLst>
            <c:ext xmlns:c16="http://schemas.microsoft.com/office/drawing/2014/chart" uri="{C3380CC4-5D6E-409C-BE32-E72D297353CC}">
              <c16:uniqueId val="{00000001-5D18-448E-9EA1-E3F049EAA9F9}"/>
            </c:ext>
          </c:extLst>
        </c:ser>
        <c:dLbls>
          <c:showLegendKey val="0"/>
          <c:showVal val="0"/>
          <c:showCatName val="0"/>
          <c:showSerName val="0"/>
          <c:showPercent val="0"/>
          <c:showBubbleSize val="0"/>
        </c:dLbls>
        <c:gapWidth val="75"/>
        <c:overlap val="-25"/>
        <c:axId val="415234336"/>
        <c:axId val="416953016"/>
        <c:extLst>
          <c:ext xmlns:c15="http://schemas.microsoft.com/office/drawing/2012/chart" uri="{02D57815-91ED-43cb-92C2-25804820EDAC}">
            <c15:filteredBarSeries>
              <c15:ser>
                <c:idx val="0"/>
                <c:order val="0"/>
                <c:tx>
                  <c:strRef>
                    <c:extLst>
                      <c:ext uri="{02D57815-91ED-43cb-92C2-25804820EDAC}">
                        <c15:formulaRef>
                          <c15:sqref>Grafico!$C$1</c15:sqref>
                        </c15:formulaRef>
                      </c:ext>
                    </c:extLst>
                    <c:strCache>
                      <c:ptCount val="1"/>
                      <c:pt idx="0">
                        <c:v>Tareas</c:v>
                      </c:pt>
                    </c:strCache>
                  </c:strRef>
                </c:tx>
                <c:spPr>
                  <a:solidFill>
                    <a:schemeClr val="accent1"/>
                  </a:solidFill>
                  <a:ln>
                    <a:noFill/>
                  </a:ln>
                  <a:effectLst/>
                </c:spPr>
                <c:invertIfNegative val="0"/>
                <c:cat>
                  <c:strRef>
                    <c:extLst>
                      <c:ext uri="{02D57815-91ED-43cb-92C2-25804820EDAC}">
                        <c15:formulaRef>
                          <c15:sqref>Grafico!$B$2:$B$12</c15:sqref>
                        </c15:formulaRef>
                      </c:ext>
                    </c:extLst>
                    <c:strCache>
                      <c:ptCount val="11"/>
                      <c:pt idx="0">
                        <c:v>A. PLANIFICACION DEL MANTENIMIENTO</c:v>
                      </c:pt>
                      <c:pt idx="1">
                        <c:v>B. REVISION Y VALIDACION ACTIVIDADES PROGRAMADAS</c:v>
                      </c:pt>
                      <c:pt idx="2">
                        <c:v>C. GESTION DE SEGURIDAD Y SALUD</c:v>
                      </c:pt>
                      <c:pt idx="3">
                        <c:v>D. GESTION MEDIO AMBIENTE</c:v>
                      </c:pt>
                      <c:pt idx="4">
                        <c:v>E. DOTACIONES DEL MANTENIMIENTO</c:v>
                      </c:pt>
                      <c:pt idx="5">
                        <c:v>F. GESTION DE REPUESTOS Y MATERIALES</c:v>
                      </c:pt>
                      <c:pt idx="6">
                        <c:v>G. SERVICIOS AL PERSONAL</c:v>
                      </c:pt>
                      <c:pt idx="7">
                        <c:v>H. SERVICIOS DE APOYO Y EQUIPOS</c:v>
                      </c:pt>
                      <c:pt idx="8">
                        <c:v>I. GESTION DE PERSONAS</c:v>
                      </c:pt>
                      <c:pt idx="9">
                        <c:v>J. GESTION Y CONTROL DE LA EJECUCION DEL MANTENIMIENTO</c:v>
                      </c:pt>
                      <c:pt idx="10">
                        <c:v>K. GESTION CIERRE MANTENIMIENTO</c:v>
                      </c:pt>
                    </c:strCache>
                  </c:strRef>
                </c:cat>
                <c:val>
                  <c:numRef>
                    <c:extLst>
                      <c:ext uri="{02D57815-91ED-43cb-92C2-25804820EDAC}">
                        <c15:formulaRef>
                          <c15:sqref>Grafico!$C$2:$C$12</c15:sqref>
                        </c15:formulaRef>
                      </c:ext>
                    </c:extLst>
                    <c:numCache>
                      <c:formatCode>General</c:formatCode>
                      <c:ptCount val="11"/>
                      <c:pt idx="0">
                        <c:v>21</c:v>
                      </c:pt>
                      <c:pt idx="1">
                        <c:v>4</c:v>
                      </c:pt>
                      <c:pt idx="2">
                        <c:v>11</c:v>
                      </c:pt>
                      <c:pt idx="3">
                        <c:v>2</c:v>
                      </c:pt>
                      <c:pt idx="4">
                        <c:v>7</c:v>
                      </c:pt>
                      <c:pt idx="5">
                        <c:v>22</c:v>
                      </c:pt>
                      <c:pt idx="6">
                        <c:v>5</c:v>
                      </c:pt>
                      <c:pt idx="7">
                        <c:v>8</c:v>
                      </c:pt>
                      <c:pt idx="8">
                        <c:v>4</c:v>
                      </c:pt>
                      <c:pt idx="9">
                        <c:v>8</c:v>
                      </c:pt>
                      <c:pt idx="10">
                        <c:v>12</c:v>
                      </c:pt>
                    </c:numCache>
                  </c:numRef>
                </c:val>
                <c:extLst>
                  <c:ext xmlns:c16="http://schemas.microsoft.com/office/drawing/2014/chart" uri="{C3380CC4-5D6E-409C-BE32-E72D297353CC}">
                    <c16:uniqueId val="{00000002-5D18-448E-9EA1-E3F049EAA9F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Grafico!$D$1</c15:sqref>
                        </c15:formulaRef>
                      </c:ext>
                    </c:extLst>
                    <c:strCache>
                      <c:ptCount val="1"/>
                      <c:pt idx="0">
                        <c:v>AvancePlanificado</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Grafico!$B$2:$B$12</c15:sqref>
                        </c15:formulaRef>
                      </c:ext>
                    </c:extLst>
                    <c:strCache>
                      <c:ptCount val="11"/>
                      <c:pt idx="0">
                        <c:v>A. PLANIFICACION DEL MANTENIMIENTO</c:v>
                      </c:pt>
                      <c:pt idx="1">
                        <c:v>B. REVISION Y VALIDACION ACTIVIDADES PROGRAMADAS</c:v>
                      </c:pt>
                      <c:pt idx="2">
                        <c:v>C. GESTION DE SEGURIDAD Y SALUD</c:v>
                      </c:pt>
                      <c:pt idx="3">
                        <c:v>D. GESTION MEDIO AMBIENTE</c:v>
                      </c:pt>
                      <c:pt idx="4">
                        <c:v>E. DOTACIONES DEL MANTENIMIENTO</c:v>
                      </c:pt>
                      <c:pt idx="5">
                        <c:v>F. GESTION DE REPUESTOS Y MATERIALES</c:v>
                      </c:pt>
                      <c:pt idx="6">
                        <c:v>G. SERVICIOS AL PERSONAL</c:v>
                      </c:pt>
                      <c:pt idx="7">
                        <c:v>H. SERVICIOS DE APOYO Y EQUIPOS</c:v>
                      </c:pt>
                      <c:pt idx="8">
                        <c:v>I. GESTION DE PERSONAS</c:v>
                      </c:pt>
                      <c:pt idx="9">
                        <c:v>J. GESTION Y CONTROL DE LA EJECUCION DEL MANTENIMIENTO</c:v>
                      </c:pt>
                      <c:pt idx="10">
                        <c:v>K. GESTION CIERRE MANTENIMIENTO</c:v>
                      </c:pt>
                    </c:strCache>
                  </c:strRef>
                </c:cat>
                <c:val>
                  <c:numRef>
                    <c:extLst xmlns:c15="http://schemas.microsoft.com/office/drawing/2012/chart">
                      <c:ext xmlns:c15="http://schemas.microsoft.com/office/drawing/2012/chart" uri="{02D57815-91ED-43cb-92C2-25804820EDAC}">
                        <c15:formulaRef>
                          <c15:sqref>Grafico!$D$2:$D$12</c15:sqref>
                        </c15:formulaRef>
                      </c:ext>
                    </c:extLst>
                    <c:numCache>
                      <c:formatCode>0</c:formatCode>
                      <c:ptCount val="11"/>
                      <c:pt idx="0">
                        <c:v>99.999999999999972</c:v>
                      </c:pt>
                      <c:pt idx="1">
                        <c:v>100</c:v>
                      </c:pt>
                      <c:pt idx="2">
                        <c:v>100.00000000000001</c:v>
                      </c:pt>
                      <c:pt idx="3">
                        <c:v>100</c:v>
                      </c:pt>
                      <c:pt idx="4">
                        <c:v>100.00000000000001</c:v>
                      </c:pt>
                      <c:pt idx="5">
                        <c:v>100.00000000000001</c:v>
                      </c:pt>
                      <c:pt idx="6">
                        <c:v>100</c:v>
                      </c:pt>
                      <c:pt idx="7">
                        <c:v>100.00000000000001</c:v>
                      </c:pt>
                      <c:pt idx="8">
                        <c:v>100</c:v>
                      </c:pt>
                      <c:pt idx="9">
                        <c:v>100</c:v>
                      </c:pt>
                      <c:pt idx="10">
                        <c:v>99.999999999999986</c:v>
                      </c:pt>
                    </c:numCache>
                  </c:numRef>
                </c:val>
                <c:extLst xmlns:c15="http://schemas.microsoft.com/office/drawing/2012/chart">
                  <c:ext xmlns:c16="http://schemas.microsoft.com/office/drawing/2014/chart" uri="{C3380CC4-5D6E-409C-BE32-E72D297353CC}">
                    <c16:uniqueId val="{00000003-5D18-448E-9EA1-E3F049EAA9F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Grafico!$E$1</c15:sqref>
                        </c15:formulaRef>
                      </c:ext>
                    </c:extLst>
                    <c:strCache>
                      <c:ptCount val="1"/>
                      <c:pt idx="0">
                        <c:v>AvanceReal</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Grafico!$B$2:$B$12</c15:sqref>
                        </c15:formulaRef>
                      </c:ext>
                    </c:extLst>
                    <c:strCache>
                      <c:ptCount val="11"/>
                      <c:pt idx="0">
                        <c:v>A. PLANIFICACION DEL MANTENIMIENTO</c:v>
                      </c:pt>
                      <c:pt idx="1">
                        <c:v>B. REVISION Y VALIDACION ACTIVIDADES PROGRAMADAS</c:v>
                      </c:pt>
                      <c:pt idx="2">
                        <c:v>C. GESTION DE SEGURIDAD Y SALUD</c:v>
                      </c:pt>
                      <c:pt idx="3">
                        <c:v>D. GESTION MEDIO AMBIENTE</c:v>
                      </c:pt>
                      <c:pt idx="4">
                        <c:v>E. DOTACIONES DEL MANTENIMIENTO</c:v>
                      </c:pt>
                      <c:pt idx="5">
                        <c:v>F. GESTION DE REPUESTOS Y MATERIALES</c:v>
                      </c:pt>
                      <c:pt idx="6">
                        <c:v>G. SERVICIOS AL PERSONAL</c:v>
                      </c:pt>
                      <c:pt idx="7">
                        <c:v>H. SERVICIOS DE APOYO Y EQUIPOS</c:v>
                      </c:pt>
                      <c:pt idx="8">
                        <c:v>I. GESTION DE PERSONAS</c:v>
                      </c:pt>
                      <c:pt idx="9">
                        <c:v>J. GESTION Y CONTROL DE LA EJECUCION DEL MANTENIMIENTO</c:v>
                      </c:pt>
                      <c:pt idx="10">
                        <c:v>K. GESTION CIERRE MANTENIMIENTO</c:v>
                      </c:pt>
                    </c:strCache>
                  </c:strRef>
                </c:cat>
                <c:val>
                  <c:numRef>
                    <c:extLst xmlns:c15="http://schemas.microsoft.com/office/drawing/2012/chart">
                      <c:ext xmlns:c15="http://schemas.microsoft.com/office/drawing/2012/chart" uri="{02D57815-91ED-43cb-92C2-25804820EDAC}">
                        <c15:formulaRef>
                          <c15:sqref>Grafico!$E$2:$E$12</c15:sqref>
                        </c15:formulaRef>
                      </c:ext>
                    </c:extLst>
                    <c:numCache>
                      <c:formatCode>0</c:formatCode>
                      <c:ptCount val="11"/>
                      <c:pt idx="0">
                        <c:v>57.599999999999987</c:v>
                      </c:pt>
                      <c:pt idx="1">
                        <c:v>100</c:v>
                      </c:pt>
                      <c:pt idx="2">
                        <c:v>27.299999999999997</c:v>
                      </c:pt>
                      <c:pt idx="3">
                        <c:v>50</c:v>
                      </c:pt>
                      <c:pt idx="4">
                        <c:v>28.6</c:v>
                      </c:pt>
                      <c:pt idx="5">
                        <c:v>54</c:v>
                      </c:pt>
                      <c:pt idx="6">
                        <c:v>75</c:v>
                      </c:pt>
                      <c:pt idx="7">
                        <c:v>10</c:v>
                      </c:pt>
                      <c:pt idx="8">
                        <c:v>0</c:v>
                      </c:pt>
                      <c:pt idx="9">
                        <c:v>0</c:v>
                      </c:pt>
                      <c:pt idx="10">
                        <c:v>0</c:v>
                      </c:pt>
                    </c:numCache>
                  </c:numRef>
                </c:val>
                <c:extLst xmlns:c15="http://schemas.microsoft.com/office/drawing/2012/chart">
                  <c:ext xmlns:c16="http://schemas.microsoft.com/office/drawing/2014/chart" uri="{C3380CC4-5D6E-409C-BE32-E72D297353CC}">
                    <c16:uniqueId val="{00000004-5D18-448E-9EA1-E3F049EAA9F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Grafico!$G$1</c15:sqref>
                        </c15:formulaRef>
                      </c:ext>
                    </c:extLst>
                    <c:strCache>
                      <c:ptCount val="1"/>
                      <c:pt idx="0">
                        <c:v>PonderacionActividad</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Grafico!$B$2:$B$12</c15:sqref>
                        </c15:formulaRef>
                      </c:ext>
                    </c:extLst>
                    <c:strCache>
                      <c:ptCount val="11"/>
                      <c:pt idx="0">
                        <c:v>A. PLANIFICACION DEL MANTENIMIENTO</c:v>
                      </c:pt>
                      <c:pt idx="1">
                        <c:v>B. REVISION Y VALIDACION ACTIVIDADES PROGRAMADAS</c:v>
                      </c:pt>
                      <c:pt idx="2">
                        <c:v>C. GESTION DE SEGURIDAD Y SALUD</c:v>
                      </c:pt>
                      <c:pt idx="3">
                        <c:v>D. GESTION MEDIO AMBIENTE</c:v>
                      </c:pt>
                      <c:pt idx="4">
                        <c:v>E. DOTACIONES DEL MANTENIMIENTO</c:v>
                      </c:pt>
                      <c:pt idx="5">
                        <c:v>F. GESTION DE REPUESTOS Y MATERIALES</c:v>
                      </c:pt>
                      <c:pt idx="6">
                        <c:v>G. SERVICIOS AL PERSONAL</c:v>
                      </c:pt>
                      <c:pt idx="7">
                        <c:v>H. SERVICIOS DE APOYO Y EQUIPOS</c:v>
                      </c:pt>
                      <c:pt idx="8">
                        <c:v>I. GESTION DE PERSONAS</c:v>
                      </c:pt>
                      <c:pt idx="9">
                        <c:v>J. GESTION Y CONTROL DE LA EJECUCION DEL MANTENIMIENTO</c:v>
                      </c:pt>
                      <c:pt idx="10">
                        <c:v>K. GESTION CIERRE MANTENIMIENTO</c:v>
                      </c:pt>
                    </c:strCache>
                  </c:strRef>
                </c:cat>
                <c:val>
                  <c:numRef>
                    <c:extLst xmlns:c15="http://schemas.microsoft.com/office/drawing/2012/chart">
                      <c:ext xmlns:c15="http://schemas.microsoft.com/office/drawing/2012/chart" uri="{02D57815-91ED-43cb-92C2-25804820EDAC}">
                        <c15:formulaRef>
                          <c15:sqref>Grafico!$G$2:$G$12</c15:sqref>
                        </c15:formulaRef>
                      </c:ext>
                    </c:extLst>
                    <c:numCache>
                      <c:formatCode>General</c:formatCode>
                      <c:ptCount val="11"/>
                      <c:pt idx="0">
                        <c:v>10</c:v>
                      </c:pt>
                      <c:pt idx="1">
                        <c:v>10</c:v>
                      </c:pt>
                      <c:pt idx="2">
                        <c:v>10</c:v>
                      </c:pt>
                      <c:pt idx="3">
                        <c:v>10</c:v>
                      </c:pt>
                      <c:pt idx="4">
                        <c:v>10</c:v>
                      </c:pt>
                      <c:pt idx="5">
                        <c:v>10</c:v>
                      </c:pt>
                      <c:pt idx="6">
                        <c:v>5</c:v>
                      </c:pt>
                      <c:pt idx="7">
                        <c:v>10</c:v>
                      </c:pt>
                      <c:pt idx="8">
                        <c:v>10</c:v>
                      </c:pt>
                      <c:pt idx="9">
                        <c:v>10</c:v>
                      </c:pt>
                      <c:pt idx="10">
                        <c:v>5</c:v>
                      </c:pt>
                    </c:numCache>
                  </c:numRef>
                </c:val>
                <c:extLst xmlns:c15="http://schemas.microsoft.com/office/drawing/2012/chart">
                  <c:ext xmlns:c16="http://schemas.microsoft.com/office/drawing/2014/chart" uri="{C3380CC4-5D6E-409C-BE32-E72D297353CC}">
                    <c16:uniqueId val="{00000005-5D18-448E-9EA1-E3F049EAA9F9}"/>
                  </c:ext>
                </c:extLst>
              </c15:ser>
            </c15:filteredBarSeries>
          </c:ext>
        </c:extLst>
      </c:barChart>
      <c:catAx>
        <c:axId val="41523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16953016"/>
        <c:crosses val="autoZero"/>
        <c:auto val="1"/>
        <c:lblAlgn val="ctr"/>
        <c:lblOffset val="100"/>
        <c:noMultiLvlLbl val="0"/>
      </c:catAx>
      <c:valAx>
        <c:axId val="416953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15234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19050</xdr:colOff>
      <xdr:row>16</xdr:row>
      <xdr:rowOff>0</xdr:rowOff>
    </xdr:from>
    <xdr:to>
      <xdr:col>7</xdr:col>
      <xdr:colOff>304800</xdr:colOff>
      <xdr:row>30</xdr:row>
      <xdr:rowOff>76200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250372</xdr:colOff>
      <xdr:row>1</xdr:row>
      <xdr:rowOff>108857</xdr:rowOff>
    </xdr:from>
    <xdr:to>
      <xdr:col>4</xdr:col>
      <xdr:colOff>213261</xdr:colOff>
      <xdr:row>3</xdr:row>
      <xdr:rowOff>108894</xdr:rowOff>
    </xdr:to>
    <xdr:pic>
      <xdr:nvPicPr>
        <xdr:cNvPr id="2" name="Imagen 4">
          <a:extLst>
            <a:ext uri="{FF2B5EF4-FFF2-40B4-BE49-F238E27FC236}">
              <a16:creationId xmlns:a16="http://schemas.microsoft.com/office/drawing/2014/main" id="{A7D267CE-F78E-4893-AF7C-3964814CFEE4}"/>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a:ext>
          </a:extLst>
        </a:blip>
        <a:stretch>
          <a:fillRect/>
        </a:stretch>
      </xdr:blipFill>
      <xdr:spPr>
        <a:xfrm>
          <a:off x="390072" y="305707"/>
          <a:ext cx="2471139" cy="3810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373857</xdr:colOff>
      <xdr:row>0</xdr:row>
      <xdr:rowOff>160601</xdr:rowOff>
    </xdr:from>
    <xdr:to>
      <xdr:col>4</xdr:col>
      <xdr:colOff>250032</xdr:colOff>
      <xdr:row>4</xdr:row>
      <xdr:rowOff>82511</xdr:rowOff>
    </xdr:to>
    <xdr:grpSp>
      <xdr:nvGrpSpPr>
        <xdr:cNvPr id="2" name="Grupo 1">
          <a:extLst>
            <a:ext uri="{FF2B5EF4-FFF2-40B4-BE49-F238E27FC236}">
              <a16:creationId xmlns:a16="http://schemas.microsoft.com/office/drawing/2014/main" id="{3AFA1D4C-A8BA-4530-92E5-505EB6849568}"/>
            </a:ext>
          </a:extLst>
        </xdr:cNvPr>
        <xdr:cNvGrpSpPr/>
      </xdr:nvGrpSpPr>
      <xdr:grpSpPr>
        <a:xfrm>
          <a:off x="504826" y="160601"/>
          <a:ext cx="2257425" cy="719629"/>
          <a:chOff x="28575" y="114300"/>
          <a:chExt cx="2000250" cy="746352"/>
        </a:xfrm>
      </xdr:grpSpPr>
      <xdr:pic>
        <xdr:nvPicPr>
          <xdr:cNvPr id="3" name="Imagen 2">
            <a:extLst>
              <a:ext uri="{FF2B5EF4-FFF2-40B4-BE49-F238E27FC236}">
                <a16:creationId xmlns:a16="http://schemas.microsoft.com/office/drawing/2014/main" id="{65BF6CE4-9E33-4552-B2F5-F2CDB93B480E}"/>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a:ext>
            </a:extLst>
          </a:blip>
          <a:stretch>
            <a:fillRect/>
          </a:stretch>
        </xdr:blipFill>
        <xdr:spPr>
          <a:xfrm>
            <a:off x="28575" y="114300"/>
            <a:ext cx="1980480" cy="352425"/>
          </a:xfrm>
          <a:prstGeom prst="rect">
            <a:avLst/>
          </a:prstGeom>
        </xdr:spPr>
      </xdr:pic>
      <xdr:pic>
        <xdr:nvPicPr>
          <xdr:cNvPr id="4" name="Imagen 3">
            <a:extLst>
              <a:ext uri="{FF2B5EF4-FFF2-40B4-BE49-F238E27FC236}">
                <a16:creationId xmlns:a16="http://schemas.microsoft.com/office/drawing/2014/main" id="{110A4757-6166-4400-9FE6-BD2D36FD44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a:xfrm>
            <a:off x="361950" y="523875"/>
            <a:ext cx="1666875" cy="336777"/>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195944</xdr:colOff>
      <xdr:row>1</xdr:row>
      <xdr:rowOff>97972</xdr:rowOff>
    </xdr:from>
    <xdr:to>
      <xdr:col>4</xdr:col>
      <xdr:colOff>158833</xdr:colOff>
      <xdr:row>3</xdr:row>
      <xdr:rowOff>98009</xdr:rowOff>
    </xdr:to>
    <xdr:pic>
      <xdr:nvPicPr>
        <xdr:cNvPr id="2" name="Imagen 6">
          <a:extLst>
            <a:ext uri="{FF2B5EF4-FFF2-40B4-BE49-F238E27FC236}">
              <a16:creationId xmlns:a16="http://schemas.microsoft.com/office/drawing/2014/main" id="{C83FACD5-8EC4-4D9E-BD20-7A0995A036D8}"/>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a:ext>
          </a:extLst>
        </a:blip>
        <a:stretch>
          <a:fillRect/>
        </a:stretch>
      </xdr:blipFill>
      <xdr:spPr>
        <a:xfrm>
          <a:off x="335644" y="294822"/>
          <a:ext cx="2471139" cy="3810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114300</xdr:rowOff>
    </xdr:from>
    <xdr:to>
      <xdr:col>1</xdr:col>
      <xdr:colOff>1419225</xdr:colOff>
      <xdr:row>4</xdr:row>
      <xdr:rowOff>89127</xdr:rowOff>
    </xdr:to>
    <xdr:grpSp>
      <xdr:nvGrpSpPr>
        <xdr:cNvPr id="2" name="Grupo 1">
          <a:extLst>
            <a:ext uri="{FF2B5EF4-FFF2-40B4-BE49-F238E27FC236}">
              <a16:creationId xmlns:a16="http://schemas.microsoft.com/office/drawing/2014/main" id="{57ED670E-975D-493F-82BC-CA97CC78C911}"/>
            </a:ext>
          </a:extLst>
        </xdr:cNvPr>
        <xdr:cNvGrpSpPr/>
      </xdr:nvGrpSpPr>
      <xdr:grpSpPr>
        <a:xfrm>
          <a:off x="28575" y="114300"/>
          <a:ext cx="2016579" cy="750434"/>
          <a:chOff x="28575" y="114300"/>
          <a:chExt cx="2000250" cy="746352"/>
        </a:xfrm>
      </xdr:grpSpPr>
      <xdr:pic>
        <xdr:nvPicPr>
          <xdr:cNvPr id="3" name="Imagen 2">
            <a:extLst>
              <a:ext uri="{FF2B5EF4-FFF2-40B4-BE49-F238E27FC236}">
                <a16:creationId xmlns:a16="http://schemas.microsoft.com/office/drawing/2014/main" id="{89DDA059-CCC2-49DC-BC4B-F0174C2276BD}"/>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a:ext>
            </a:extLst>
          </a:blip>
          <a:stretch>
            <a:fillRect/>
          </a:stretch>
        </xdr:blipFill>
        <xdr:spPr>
          <a:xfrm>
            <a:off x="28575" y="114300"/>
            <a:ext cx="1980480" cy="352425"/>
          </a:xfrm>
          <a:prstGeom prst="rect">
            <a:avLst/>
          </a:prstGeom>
        </xdr:spPr>
      </xdr:pic>
      <xdr:pic>
        <xdr:nvPicPr>
          <xdr:cNvPr id="4" name="Imagen 3">
            <a:extLst>
              <a:ext uri="{FF2B5EF4-FFF2-40B4-BE49-F238E27FC236}">
                <a16:creationId xmlns:a16="http://schemas.microsoft.com/office/drawing/2014/main" id="{F0AA1B9B-71F4-445F-8E71-D80AD26517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a:xfrm>
            <a:off x="361950" y="523875"/>
            <a:ext cx="1666875" cy="336777"/>
          </a:xfrm>
          <a:prstGeom prst="rect">
            <a:avLst/>
          </a:prstGeom>
        </xdr:spPr>
      </xdr:pic>
    </xdr:grpSp>
    <xdr:clientData/>
  </xdr:twoCellAnchor>
  <xdr:twoCellAnchor>
    <xdr:from>
      <xdr:col>11</xdr:col>
      <xdr:colOff>400050</xdr:colOff>
      <xdr:row>0</xdr:row>
      <xdr:rowOff>142875</xdr:rowOff>
    </xdr:from>
    <xdr:to>
      <xdr:col>13</xdr:col>
      <xdr:colOff>1219200</xdr:colOff>
      <xdr:row>3</xdr:row>
      <xdr:rowOff>161925</xdr:rowOff>
    </xdr:to>
    <xdr:sp macro="[6]!UPDT_STOCKCODE" textlink="">
      <xdr:nvSpPr>
        <xdr:cNvPr id="5" name="Rectángulo: esquinas redondeadas 4">
          <a:extLst>
            <a:ext uri="{FF2B5EF4-FFF2-40B4-BE49-F238E27FC236}">
              <a16:creationId xmlns:a16="http://schemas.microsoft.com/office/drawing/2014/main" id="{860BD1CF-6183-4AFE-AD35-319D8D9FD151}"/>
            </a:ext>
          </a:extLst>
        </xdr:cNvPr>
        <xdr:cNvSpPr/>
      </xdr:nvSpPr>
      <xdr:spPr>
        <a:xfrm>
          <a:off x="9505950" y="142875"/>
          <a:ext cx="2940050" cy="596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L" sz="1100"/>
            <a:t>ACTUALIZAR</a:t>
          </a:r>
        </a:p>
      </xdr:txBody>
    </xdr:sp>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G:\AREAS\1.-%20GESTION%20DE%20MANTENIMIENTO%20SIEMENS\QMiP%20SIEMENS%20PUERTO\01.%20Planificaci&#243;n\02.%20Mantencion%20Largo%20Plazo\1.%20Mantenciones%20LP%202019\11-Noviembre\MANT%20SEMESTRAL%20FL003\1%20MATRIZ%20DE%20INTERVENCION\Matriz%20de%20riesgo%20FL003-SD1976(sem44).xlsm?1245E7DB" TargetMode="External"/><Relationship Id="rId1" Type="http://schemas.openxmlformats.org/officeDocument/2006/relationships/externalLinkPath" Target="file:///\\1245E7DB\Matriz%20de%20riesgo%20FL003-SD1976(sem44).xlsm"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G:\AREAS\1.-%20GESTION%20DE%20MANTENIMIENTO%20SIEMENS\S.1%20PLANIFICACION\2.-%20Mantenciones%20Programadas\2.-%20Mantenci&#243;n%20Programado%202018\9.-%20Septiembre\CAMBIO%20CADENA%20RASTRA%20AUXILIAR\1-MATRIZ%20DE%20INTERVENCI&#211;N\Planilla%20matriz%20de%20Riesgo%20SD1762-S32.xlsm?532907B3" TargetMode="External"/><Relationship Id="rId1" Type="http://schemas.openxmlformats.org/officeDocument/2006/relationships/externalLinkPath" Target="file:///\\532907B3\Planilla%20matriz%20de%20Riesgo%20SD1762-S3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023\SEM%2003\Matriz%20de%20intervenci&#243;n%20310FL00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revilca/AppData/Roaming/Microsoft/Excel/Matriz%20de%20riesgo%20FL003-SD1976(sem44)%20(version%201).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ESCARGAS%20DE%20GOOGLE\Propuesta%20E&amp;I%20Rev.%201.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D:\REPUESTOS\MAESTRO%20REPUESTOS%20POLINES%20FILTRADO.xlsm" TargetMode="External"/><Relationship Id="rId1" Type="http://schemas.openxmlformats.org/officeDocument/2006/relationships/externalLinkPath" Target="MAESTRO%20REPUESTOS%20POLINES%20FILTR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riesgo SD"/>
      <sheetName val="Tareas"/>
      <sheetName val="Proceso"/>
      <sheetName val="Areas"/>
      <sheetName val="Responsables"/>
      <sheetName val="Actividades"/>
      <sheetName val="Grafico"/>
      <sheetName val="Matriz Rep. Mec."/>
      <sheetName val="Matriz Rep. Elec."/>
      <sheetName val="FODA"/>
      <sheetName val="Dotación"/>
      <sheetName val="Pernos pedidos"/>
      <sheetName val="STOCK CODE"/>
      <sheetName val="Data"/>
      <sheetName val="Activo"/>
      <sheetName val="Matriz de riesgo FL003-SD1976(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riesgo SD"/>
      <sheetName val="Tareas"/>
      <sheetName val="Proceso"/>
      <sheetName val="Areas"/>
      <sheetName val="Responsables"/>
      <sheetName val="Actividades"/>
      <sheetName val="Matriz repuestos"/>
      <sheetName val="Foda"/>
      <sheetName val="GRAFICO"/>
      <sheetName val="Data"/>
      <sheetName val="Activo"/>
    </sheetNames>
    <sheetDataSet>
      <sheetData sheetId="0" refreshError="1"/>
      <sheetData sheetId="1" refreshError="1"/>
      <sheetData sheetId="2" refreshError="1"/>
      <sheetData sheetId="3" refreshError="1"/>
      <sheetData sheetId="4" refreshError="1"/>
      <sheetData sheetId="5">
        <row r="6">
          <cell r="C6">
            <v>7</v>
          </cell>
        </row>
        <row r="7">
          <cell r="C7">
            <v>22</v>
          </cell>
        </row>
        <row r="8">
          <cell r="C8">
            <v>5</v>
          </cell>
        </row>
        <row r="9">
          <cell r="C9">
            <v>8</v>
          </cell>
        </row>
        <row r="10">
          <cell r="C10">
            <v>4</v>
          </cell>
        </row>
        <row r="11">
          <cell r="C11">
            <v>8</v>
          </cell>
        </row>
        <row r="12">
          <cell r="C12">
            <v>12</v>
          </cell>
        </row>
      </sheetData>
      <sheetData sheetId="6" refreshError="1"/>
      <sheetData sheetId="7" refreshError="1"/>
      <sheetData sheetId="8">
        <row r="1">
          <cell r="C1" t="str">
            <v>Tareas</v>
          </cell>
        </row>
      </sheetData>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riesgo SD"/>
      <sheetName val="Tareas"/>
      <sheetName val="Proceso"/>
      <sheetName val="Areas"/>
      <sheetName val="Responsables"/>
      <sheetName val="Actividades"/>
      <sheetName val="Grafico"/>
      <sheetName val="REP ACER CARB"/>
      <sheetName val="MATRIZ REPUESTOS MECANICOS"/>
      <sheetName val="MATRIZ REPUESTOS ELEC. INSTRU."/>
      <sheetName val="MATRIZ REPUESTOS LUBRICACION"/>
      <sheetName val="REPUESTOS PENDIENTES LLEGADA"/>
      <sheetName val="CODIGOS "/>
      <sheetName val="FODA"/>
      <sheetName val="LINEA TIEMPO"/>
      <sheetName val="Data"/>
      <sheetName val="Activo"/>
    </sheetNames>
    <sheetDataSet>
      <sheetData sheetId="0"/>
      <sheetData sheetId="1"/>
      <sheetData sheetId="2"/>
      <sheetData sheetId="3"/>
      <sheetData sheetId="4"/>
      <sheetData sheetId="5"/>
      <sheetData sheetId="6"/>
      <sheetData sheetId="7"/>
      <sheetData sheetId="8">
        <row r="11">
          <cell r="G11" t="str">
            <v xml:space="preserve">MANTENCION SEMESTRAL FILTRO PRENSA </v>
          </cell>
        </row>
      </sheetData>
      <sheetData sheetId="9">
        <row r="7">
          <cell r="G7">
            <v>44819</v>
          </cell>
        </row>
      </sheetData>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riesgo SD"/>
      <sheetName val="Tareas"/>
      <sheetName val="Proceso"/>
      <sheetName val="Areas"/>
      <sheetName val="Responsables"/>
      <sheetName val="Actividades"/>
      <sheetName val="Grafico"/>
      <sheetName val="Matriz Rep. Mec."/>
      <sheetName val="Matriz Rep. Elec."/>
      <sheetName val="FODA"/>
      <sheetName val="Dotación"/>
      <sheetName val="Pernos pedidos"/>
      <sheetName val="STOCK CODE"/>
      <sheetName val="Data"/>
      <sheetName val="Activo"/>
      <sheetName val="Matriz de riesgo FL003-SD1976(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dades"/>
      <sheetName val="Repuestos"/>
    </sheetNames>
    <sheetDataSet>
      <sheetData sheetId="0"/>
      <sheetData sheetId="1">
        <row r="9">
          <cell r="F9">
            <v>50</v>
          </cell>
        </row>
        <row r="18">
          <cell r="F18">
            <v>3</v>
          </cell>
        </row>
        <row r="19">
          <cell r="F19">
            <v>4</v>
          </cell>
        </row>
        <row r="20">
          <cell r="F20">
            <v>1</v>
          </cell>
        </row>
        <row r="21">
          <cell r="F21">
            <v>1</v>
          </cell>
        </row>
        <row r="22">
          <cell r="F22">
            <v>4</v>
          </cell>
        </row>
        <row r="23">
          <cell r="F23">
            <v>1</v>
          </cell>
        </row>
        <row r="24">
          <cell r="F24">
            <v>1</v>
          </cell>
        </row>
        <row r="25">
          <cell r="F25">
            <v>4</v>
          </cell>
        </row>
        <row r="26">
          <cell r="F26">
            <v>4</v>
          </cell>
        </row>
        <row r="37">
          <cell r="F37">
            <v>1</v>
          </cell>
        </row>
        <row r="38">
          <cell r="F38">
            <v>5</v>
          </cell>
        </row>
        <row r="39">
          <cell r="F39">
            <v>5</v>
          </cell>
        </row>
        <row r="40">
          <cell r="F40">
            <v>5</v>
          </cell>
        </row>
        <row r="41">
          <cell r="F41">
            <v>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001"/>
      <sheetName val="EQ002"/>
      <sheetName val="EQ003"/>
      <sheetName val="ACTUALIZAR"/>
      <sheetName val="sd"/>
      <sheetName val="MAESTRO REPUESTOS POLINES FILTR"/>
    </sheetNames>
    <definedNames>
      <definedName name="UPDT_STOCKCODE"/>
    </definedNames>
    <sheetDataSet>
      <sheetData sheetId="0"/>
      <sheetData sheetId="1"/>
      <sheetData sheetId="2"/>
      <sheetData sheetId="3"/>
      <sheetData sheetId="4"/>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AZOP" displayName="HAZOP" ref="A1:I2" headerRowDxfId="96">
  <autoFilter ref="A1:I2" xr:uid="{00000000-0009-0000-0100-000001000000}"/>
  <tableColumns count="9">
    <tableColumn id="1" xr3:uid="{00000000-0010-0000-0000-000001000000}" name="Codigo"/>
    <tableColumn id="2" xr3:uid="{00000000-0010-0000-0000-000002000000}" name="Responsables"/>
    <tableColumn id="3" xr3:uid="{00000000-0010-0000-0000-000003000000}" name="Proceso"/>
    <tableColumn id="4" xr3:uid="{00000000-0010-0000-0000-000004000000}" name="AreasTrabajo"/>
    <tableColumn id="5" xr3:uid="{00000000-0010-0000-0000-000005000000}" name="AvancePlanificado"/>
    <tableColumn id="6" xr3:uid="{00000000-0010-0000-0000-000006000000}" name="AvanceReal"/>
    <tableColumn id="7" xr3:uid="{00000000-0010-0000-0000-000007000000}" name="Descripcion"/>
    <tableColumn id="8" xr3:uid="{00000000-0010-0000-0000-000008000000}" name="FechaInicio">
      <calculatedColumnFormula>Tareas!$H$2</calculatedColumnFormula>
    </tableColumn>
    <tableColumn id="9" xr3:uid="{00000000-0010-0000-0000-000009000000}" name="FechaVencimiento" dataDxfId="9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reas" displayName="Tareas" ref="A1:O128" headerRowDxfId="94" dataDxfId="93" totalsRowDxfId="92">
  <autoFilter ref="A1:O128" xr:uid="{00000000-0009-0000-0100-000002000000}">
    <filterColumn colId="9">
      <filters>
        <filter val="Sí"/>
      </filters>
    </filterColumn>
  </autoFilter>
  <tableColumns count="15">
    <tableColumn id="1" xr3:uid="{00000000-0010-0000-0100-000001000000}" name="Nombre de tarea" dataDxfId="91"/>
    <tableColumn id="2" xr3:uid="{00000000-0010-0000-0100-000002000000}" name="Ponderacion" dataDxfId="90"/>
    <tableColumn id="3" xr3:uid="{00000000-0010-0000-0100-000003000000}" name="Asignado a" dataDxfId="89"/>
    <tableColumn id="4" xr3:uid="{00000000-0010-0000-0100-000004000000}" name="Actividad" dataDxfId="88"/>
    <tableColumn id="5" xr3:uid="{00000000-0010-0000-0100-000005000000}" name="AvancePlanificado" dataDxfId="87"/>
    <tableColumn id="6" xr3:uid="{00000000-0010-0000-0100-000006000000}" name="AvanceReal"/>
    <tableColumn id="7" xr3:uid="{00000000-0010-0000-0100-000007000000}" name="Descripción" dataDxfId="86"/>
    <tableColumn id="8" xr3:uid="{00000000-0010-0000-0100-000008000000}" name="Fecha de inicio" dataDxfId="85">
      <calculatedColumnFormula>I2-O2</calculatedColumnFormula>
    </tableColumn>
    <tableColumn id="9" xr3:uid="{00000000-0010-0000-0100-000009000000}" name="Fecha de vencimiento" dataDxfId="84">
      <calculatedColumnFormula>'Matriz de riesgo SD'!$I$2-N2</calculatedColumnFormula>
    </tableColumn>
    <tableColumn id="10" xr3:uid="{00000000-0010-0000-0100-00000A000000}" name="Activo"/>
    <tableColumn id="11" xr3:uid="{00000000-0010-0000-0100-00000B000000}" name="Validada" dataDxfId="83"/>
    <tableColumn id="12" xr3:uid="{00000000-0010-0000-0100-00000C000000}" name="Comentarios" dataDxfId="82"/>
    <tableColumn id="13" xr3:uid="{00000000-0010-0000-0100-00000D000000}" name="ID" dataDxfId="81"/>
    <tableColumn id="14" xr3:uid="{00000000-0010-0000-0100-00000E000000}" name="FREC" dataDxfId="80"/>
    <tableColumn id="15" xr3:uid="{00000000-0010-0000-0100-00000F000000}" name="DURACIÓN" dataDxfId="7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AED2B1-3009-4EED-A64B-8C635A664480}" name="Tabla_APL" displayName="Tabla_APL" ref="A8:Q247" totalsRowShown="0" headerRowDxfId="18" dataDxfId="17">
  <autoFilter ref="A8:Q247" xr:uid="{3C2FD685-F78D-43C2-B547-E775190D4318}"/>
  <sortState xmlns:xlrd2="http://schemas.microsoft.com/office/spreadsheetml/2017/richdata2" ref="A9:O48">
    <sortCondition ref="B10"/>
  </sortState>
  <tableColumns count="17">
    <tableColumn id="1" xr3:uid="{1CD8B5EC-B6BF-4672-83BE-046C96E6C36A}" name="ITEM" dataDxfId="16"/>
    <tableColumn id="2" xr3:uid="{42CF77F8-C223-470B-A1E8-10EF59A1DE68}" name="STOCKCODE" dataDxfId="15"/>
    <tableColumn id="13" xr3:uid="{183C335A-6FDB-41DF-97FA-A3E16D1E174B}" name="QTY" dataDxfId="14"/>
    <tableColumn id="3" xr3:uid="{95B9A225-4F57-4679-8BC0-58A914AC3EAE}" name="SOH" dataDxfId="13"/>
    <tableColumn id="4" xr3:uid="{3E0F5CC9-DFBD-4F16-8463-94D6F7091667}" name="IN TRANSIT" dataDxfId="12"/>
    <tableColumn id="5" xr3:uid="{B0EADEBB-665E-4AFB-BDAF-48C8410FA16E}" name="DUES IN" dataDxfId="11"/>
    <tableColumn id="6" xr3:uid="{3161D687-9AAB-49C4-83DA-0E51362F1E64}" name="DUES OUT" dataDxfId="10"/>
    <tableColumn id="8" xr3:uid="{18ED7BB3-4172-4A77-8582-7C1CF2D573C5}" name="BODEGA" dataDxfId="9"/>
    <tableColumn id="9" xr3:uid="{4B924126-2052-44EC-8BEE-F400910553F5}" name="ROP" dataDxfId="8"/>
    <tableColumn id="10" xr3:uid="{AB4ADD6F-6124-4015-82B6-DF4E09982BAB}" name="ROQ" dataDxfId="7"/>
    <tableColumn id="11" xr3:uid="{AA5F3A54-57C9-4075-9A78-9B8954F94017}" name="CLASS" dataDxfId="6"/>
    <tableColumn id="12" xr3:uid="{8C4065FF-FAA3-499A-8DB4-6816956CE22A}" name="TYPE" dataDxfId="5"/>
    <tableColumn id="7" xr3:uid="{CC9966AE-7B34-471B-97B6-0066BBD6B771}" name="NOMBRE" dataDxfId="4"/>
    <tableColumn id="14" xr3:uid="{0DE035C0-421A-4DC5-B68E-9ACABE56C015}" name="DESCRIPCION" dataDxfId="3"/>
    <tableColumn id="15" xr3:uid="{96ABBFAE-5F8E-43EF-B78C-86B10564F83B}" name="EXTENDIDA" dataDxfId="2"/>
    <tableColumn id="16" xr3:uid="{D7F0D308-08A8-4004-A17E-9D1610603BD1}" name="Column1" dataDxfId="1"/>
    <tableColumn id="17" xr3:uid="{847124F5-5885-46A2-A6D5-E70954187838}" name="Column2" dataDxfId="0"/>
  </tableColumns>
  <tableStyleInfo name="TableStyleLight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2"/>
  <sheetViews>
    <sheetView topLeftCell="D1" workbookViewId="0">
      <selection activeCell="K13" sqref="K13"/>
    </sheetView>
  </sheetViews>
  <sheetFormatPr baseColWidth="10" defaultColWidth="9.42578125" defaultRowHeight="15" x14ac:dyDescent="0.25"/>
  <cols>
    <col min="1" max="1" width="15.5703125" customWidth="1"/>
    <col min="2" max="2" width="44" customWidth="1"/>
    <col min="3" max="3" width="16.5703125" customWidth="1"/>
    <col min="4" max="4" width="20.5703125" bestFit="1" customWidth="1"/>
    <col min="7" max="7" width="55.5703125" customWidth="1"/>
    <col min="8" max="8" width="13.42578125" style="2" bestFit="1" customWidth="1"/>
    <col min="9" max="9" width="20.42578125" style="2" bestFit="1" customWidth="1"/>
    <col min="11" max="12" width="9.42578125" style="1" customWidth="1"/>
  </cols>
  <sheetData>
    <row r="1" spans="1:9" x14ac:dyDescent="0.25">
      <c r="A1" s="5" t="s">
        <v>120</v>
      </c>
      <c r="B1" s="5" t="s">
        <v>121</v>
      </c>
      <c r="C1" s="5" t="s">
        <v>122</v>
      </c>
      <c r="D1" s="5" t="s">
        <v>123</v>
      </c>
      <c r="E1" s="5" t="s">
        <v>30</v>
      </c>
      <c r="F1" s="5" t="s">
        <v>31</v>
      </c>
      <c r="G1" s="5" t="s">
        <v>124</v>
      </c>
      <c r="H1" s="6" t="s">
        <v>125</v>
      </c>
      <c r="I1" s="6" t="s">
        <v>126</v>
      </c>
    </row>
    <row r="2" spans="1:9" x14ac:dyDescent="0.25">
      <c r="A2" s="3" t="s">
        <v>1276</v>
      </c>
      <c r="B2" t="s">
        <v>432</v>
      </c>
      <c r="C2" t="s">
        <v>20</v>
      </c>
      <c r="D2" t="s">
        <v>22</v>
      </c>
      <c r="E2">
        <v>0</v>
      </c>
      <c r="F2">
        <v>0</v>
      </c>
      <c r="G2" s="3" t="s">
        <v>1277</v>
      </c>
      <c r="H2" s="2">
        <f>Tareas!$H$2</f>
        <v>43992</v>
      </c>
      <c r="I2" s="10">
        <v>44034</v>
      </c>
    </row>
  </sheetData>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xr:uid="{00000000-0002-0000-0000-000000000000}">
          <x14:formula1>
            <xm:f>Responsables!$A$2:$A$105</xm:f>
          </x14:formula1>
          <xm:sqref>B2</xm:sqref>
        </x14:dataValidation>
        <x14:dataValidation type="list" xr:uid="{00000000-0002-0000-0000-000001000000}">
          <x14:formula1>
            <xm:f>Proceso!$B$2:$B$13</xm:f>
          </x14:formula1>
          <xm:sqref>C2</xm:sqref>
        </x14:dataValidation>
        <x14:dataValidation type="list" xr:uid="{00000000-0002-0000-0000-000002000000}">
          <x14:formula1>
            <xm:f>Areas!$B$2:$B$23</xm:f>
          </x14:formula1>
          <xm:sqref>D2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O128"/>
  <sheetViews>
    <sheetView topLeftCell="A36" zoomScaleNormal="100" workbookViewId="0">
      <selection activeCell="F67" sqref="F67"/>
    </sheetView>
  </sheetViews>
  <sheetFormatPr baseColWidth="10" defaultColWidth="9.42578125" defaultRowHeight="15" x14ac:dyDescent="0.25"/>
  <cols>
    <col min="1" max="1" width="80.7109375" customWidth="1"/>
    <col min="2" max="2" width="10.42578125" style="56" customWidth="1"/>
    <col min="3" max="3" width="53.5703125" hidden="1" customWidth="1"/>
    <col min="4" max="4" width="51" customWidth="1"/>
    <col min="5" max="5" width="11.5703125" style="56" customWidth="1"/>
    <col min="6" max="6" width="14" customWidth="1"/>
    <col min="7" max="7" width="12" customWidth="1"/>
    <col min="8" max="8" width="16.5703125" style="2" customWidth="1"/>
    <col min="9" max="9" width="23" style="2" customWidth="1"/>
    <col min="10" max="10" width="9.42578125" customWidth="1"/>
    <col min="11" max="11" width="26.42578125" style="1" customWidth="1"/>
    <col min="12" max="12" width="22.42578125" style="1" customWidth="1"/>
    <col min="13" max="13" width="9.42578125" style="4" customWidth="1"/>
  </cols>
  <sheetData>
    <row r="1" spans="1:15" ht="15.75" thickBot="1" x14ac:dyDescent="0.3">
      <c r="A1" s="5" t="s">
        <v>26</v>
      </c>
      <c r="B1" s="53" t="s">
        <v>27</v>
      </c>
      <c r="C1" s="5" t="s">
        <v>28</v>
      </c>
      <c r="D1" s="5" t="s">
        <v>29</v>
      </c>
      <c r="E1" s="53" t="s">
        <v>30</v>
      </c>
      <c r="F1" s="5" t="s">
        <v>31</v>
      </c>
      <c r="G1" s="5" t="s">
        <v>32</v>
      </c>
      <c r="H1" s="6" t="s">
        <v>33</v>
      </c>
      <c r="I1" s="6" t="s">
        <v>34</v>
      </c>
      <c r="J1" s="5" t="s">
        <v>35</v>
      </c>
      <c r="K1" s="7" t="s">
        <v>36</v>
      </c>
      <c r="L1" s="7" t="s">
        <v>37</v>
      </c>
      <c r="M1" s="8" t="s">
        <v>0</v>
      </c>
      <c r="N1" s="9" t="s">
        <v>299</v>
      </c>
      <c r="O1" s="9" t="s">
        <v>300</v>
      </c>
    </row>
    <row r="2" spans="1:15" x14ac:dyDescent="0.25">
      <c r="A2" s="16" t="s">
        <v>38</v>
      </c>
      <c r="B2" s="54">
        <f>IF(Tareas[[#This Row],[ID]]=1,100/SUM($M$2:$M$24),0)</f>
        <v>4.7619047619047619</v>
      </c>
      <c r="C2" s="18" t="s">
        <v>139</v>
      </c>
      <c r="D2" s="18" t="s">
        <v>40</v>
      </c>
      <c r="E2" s="54">
        <f t="shared" ref="E2:E65" ca="1" si="0">(IF(I2&lt;=TODAY(),1,0))*B2</f>
        <v>4.7619047619047619</v>
      </c>
      <c r="F2" s="192">
        <v>4.8</v>
      </c>
      <c r="G2" s="18"/>
      <c r="H2" s="20">
        <f>I2-O2</f>
        <v>43992</v>
      </c>
      <c r="I2" s="20">
        <f>'Matriz de riesgo SD'!$I$2-N2</f>
        <v>43994</v>
      </c>
      <c r="J2" s="67" t="s">
        <v>41</v>
      </c>
      <c r="K2" s="18" t="s">
        <v>42</v>
      </c>
      <c r="L2" s="21"/>
      <c r="M2" s="17">
        <f>IF(Tareas[[#This Row],[Activo]]="sí",1,0)</f>
        <v>1</v>
      </c>
      <c r="N2" s="18">
        <v>40</v>
      </c>
      <c r="O2" s="22">
        <v>2</v>
      </c>
    </row>
    <row r="3" spans="1:15" x14ac:dyDescent="0.25">
      <c r="A3" s="23" t="s">
        <v>195</v>
      </c>
      <c r="B3" s="55">
        <f>IF(Tareas[[#This Row],[ID]]=1,100/SUM($M$2:$M$24),0)</f>
        <v>4.7619047619047619</v>
      </c>
      <c r="C3" s="12" t="s">
        <v>139</v>
      </c>
      <c r="D3" s="12" t="s">
        <v>40</v>
      </c>
      <c r="E3" s="55">
        <f t="shared" ca="1" si="0"/>
        <v>4.7619047619047619</v>
      </c>
      <c r="F3" s="192">
        <v>4.8</v>
      </c>
      <c r="G3" s="12"/>
      <c r="H3" s="13">
        <f t="shared" ref="H3:H9" si="1">I3-O3</f>
        <v>43992</v>
      </c>
      <c r="I3" s="13">
        <f>'Matriz de riesgo SD'!$I$2-N3</f>
        <v>43994</v>
      </c>
      <c r="J3" s="67" t="s">
        <v>41</v>
      </c>
      <c r="K3" s="12" t="s">
        <v>42</v>
      </c>
      <c r="L3" s="14"/>
      <c r="M3" s="15">
        <f>IF(Tareas[[#This Row],[Activo]]="sí",1,0)</f>
        <v>1</v>
      </c>
      <c r="N3" s="12">
        <v>40</v>
      </c>
      <c r="O3" s="24">
        <v>2</v>
      </c>
    </row>
    <row r="4" spans="1:15" x14ac:dyDescent="0.25">
      <c r="A4" s="25" t="s">
        <v>44</v>
      </c>
      <c r="B4" s="56">
        <f>IF(Tareas[[#This Row],[ID]]=1,100/SUM($M$2:$M$24),0)</f>
        <v>4.7619047619047619</v>
      </c>
      <c r="C4" t="s">
        <v>139</v>
      </c>
      <c r="D4" s="4" t="s">
        <v>40</v>
      </c>
      <c r="E4" s="56">
        <f t="shared" ca="1" si="0"/>
        <v>4.7619047619047619</v>
      </c>
      <c r="F4" s="192">
        <v>4.8</v>
      </c>
      <c r="H4" s="2">
        <f t="shared" si="1"/>
        <v>43990</v>
      </c>
      <c r="I4" s="2">
        <f>'Matriz de riesgo SD'!$I$2-N4</f>
        <v>43994</v>
      </c>
      <c r="J4" s="67" t="s">
        <v>41</v>
      </c>
      <c r="K4" t="s">
        <v>42</v>
      </c>
      <c r="L4" s="4" t="s">
        <v>429</v>
      </c>
      <c r="M4">
        <f>IF(Tareas[[#This Row],[Activo]]="sí",1,0)</f>
        <v>1</v>
      </c>
      <c r="N4" s="4">
        <v>40</v>
      </c>
      <c r="O4" s="26">
        <v>4</v>
      </c>
    </row>
    <row r="5" spans="1:15" x14ac:dyDescent="0.25">
      <c r="A5" s="23" t="s">
        <v>45</v>
      </c>
      <c r="B5" s="55">
        <f>IF(Tareas[[#This Row],[ID]]=1,100/SUM($M$2:$M$24),0)</f>
        <v>4.7619047619047619</v>
      </c>
      <c r="C5" s="12" t="s">
        <v>139</v>
      </c>
      <c r="D5" s="15" t="s">
        <v>40</v>
      </c>
      <c r="E5" s="55">
        <f t="shared" ca="1" si="0"/>
        <v>4.7619047619047619</v>
      </c>
      <c r="F5" s="192">
        <v>4.8</v>
      </c>
      <c r="G5" s="12"/>
      <c r="H5" s="13">
        <f t="shared" si="1"/>
        <v>44001</v>
      </c>
      <c r="I5" s="13">
        <f>'Matriz de riesgo SD'!$I$2-N5</f>
        <v>44004</v>
      </c>
      <c r="J5" s="67" t="s">
        <v>41</v>
      </c>
      <c r="K5" s="12" t="s">
        <v>42</v>
      </c>
      <c r="L5" s="15"/>
      <c r="M5" s="12">
        <f>IF(Tareas[[#This Row],[Activo]]="sí",1,0)</f>
        <v>1</v>
      </c>
      <c r="N5" s="15">
        <v>30</v>
      </c>
      <c r="O5" s="24">
        <v>3</v>
      </c>
    </row>
    <row r="6" spans="1:15" x14ac:dyDescent="0.25">
      <c r="A6" s="25" t="s">
        <v>46</v>
      </c>
      <c r="B6" s="56">
        <f>IF(Tareas[[#This Row],[ID]]=1,100/SUM($M$2:$M$24),0)</f>
        <v>4.7619047619047619</v>
      </c>
      <c r="C6" t="s">
        <v>139</v>
      </c>
      <c r="D6" s="4" t="s">
        <v>40</v>
      </c>
      <c r="E6" s="56">
        <f t="shared" ca="1" si="0"/>
        <v>4.7619047619047619</v>
      </c>
      <c r="F6" s="192">
        <v>4.8</v>
      </c>
      <c r="H6" s="2">
        <f t="shared" si="1"/>
        <v>44001</v>
      </c>
      <c r="I6" s="2">
        <f>'Matriz de riesgo SD'!$I$2-N6</f>
        <v>44004</v>
      </c>
      <c r="J6" s="67" t="s">
        <v>41</v>
      </c>
      <c r="K6" t="s">
        <v>42</v>
      </c>
      <c r="L6" s="4"/>
      <c r="M6">
        <f>IF(Tareas[[#This Row],[Activo]]="sí",1,0)</f>
        <v>1</v>
      </c>
      <c r="N6" s="4">
        <v>30</v>
      </c>
      <c r="O6" s="26">
        <v>3</v>
      </c>
    </row>
    <row r="7" spans="1:15" hidden="1" x14ac:dyDescent="0.25">
      <c r="A7" s="23" t="s">
        <v>47</v>
      </c>
      <c r="B7" s="55">
        <f>IF(Tareas[[#This Row],[ID]]=1,100/SUM($M$2:$M$24),0)</f>
        <v>0</v>
      </c>
      <c r="C7" s="12" t="s">
        <v>139</v>
      </c>
      <c r="D7" s="15" t="s">
        <v>40</v>
      </c>
      <c r="E7" s="55">
        <f ca="1">(IF(I7&lt;=TODAY(),1,0))*B7</f>
        <v>0</v>
      </c>
      <c r="F7" s="192">
        <v>0</v>
      </c>
      <c r="G7" s="12"/>
      <c r="H7" s="13">
        <f t="shared" si="1"/>
        <v>44001</v>
      </c>
      <c r="I7" s="13">
        <f>'Matriz de riesgo SD'!$I$2-N7</f>
        <v>44004</v>
      </c>
      <c r="J7" s="67" t="s">
        <v>50</v>
      </c>
      <c r="K7" s="12" t="s">
        <v>42</v>
      </c>
      <c r="L7" s="15"/>
      <c r="M7" s="12">
        <f>IF(Tareas[[#This Row],[Activo]]="sí",1,0)</f>
        <v>0</v>
      </c>
      <c r="N7" s="15">
        <v>30</v>
      </c>
      <c r="O7" s="24">
        <v>3</v>
      </c>
    </row>
    <row r="8" spans="1:15" hidden="1" x14ac:dyDescent="0.25">
      <c r="A8" s="25" t="s">
        <v>196</v>
      </c>
      <c r="B8" s="56">
        <f>IF(Tareas[[#This Row],[ID]]=1,100/SUM($M$2:$M$24),0)</f>
        <v>0</v>
      </c>
      <c r="C8" t="s">
        <v>139</v>
      </c>
      <c r="D8" s="4" t="s">
        <v>40</v>
      </c>
      <c r="E8" s="56">
        <f t="shared" ca="1" si="0"/>
        <v>0</v>
      </c>
      <c r="F8" s="192">
        <v>0</v>
      </c>
      <c r="H8" s="2">
        <f t="shared" si="1"/>
        <v>44001</v>
      </c>
      <c r="I8" s="2">
        <f>'Matriz de riesgo SD'!$I$2-N8</f>
        <v>44004</v>
      </c>
      <c r="J8" s="67" t="s">
        <v>50</v>
      </c>
      <c r="K8" t="s">
        <v>42</v>
      </c>
      <c r="L8" s="4"/>
      <c r="M8">
        <f>IF(Tareas[[#This Row],[Activo]]="sí",1,0)</f>
        <v>0</v>
      </c>
      <c r="N8" s="4">
        <v>30</v>
      </c>
      <c r="O8" s="26">
        <v>3</v>
      </c>
    </row>
    <row r="9" spans="1:15" x14ac:dyDescent="0.25">
      <c r="A9" s="23" t="s">
        <v>197</v>
      </c>
      <c r="B9" s="55">
        <f>IF(Tareas[[#This Row],[ID]]=1,100/SUM($M$2:$M$24),0)</f>
        <v>4.7619047619047619</v>
      </c>
      <c r="C9" s="12" t="s">
        <v>139</v>
      </c>
      <c r="D9" s="15" t="s">
        <v>40</v>
      </c>
      <c r="E9" s="55">
        <f t="shared" ca="1" si="0"/>
        <v>4.7619047619047619</v>
      </c>
      <c r="F9" s="192">
        <v>4.8</v>
      </c>
      <c r="G9" s="12"/>
      <c r="H9" s="13">
        <f t="shared" si="1"/>
        <v>44002</v>
      </c>
      <c r="I9" s="13">
        <f>'Matriz de riesgo SD'!$I$2-N9</f>
        <v>44004</v>
      </c>
      <c r="J9" s="67" t="s">
        <v>41</v>
      </c>
      <c r="K9" s="12" t="s">
        <v>42</v>
      </c>
      <c r="L9" s="15"/>
      <c r="M9" s="12">
        <f>IF(Tareas[[#This Row],[Activo]]="sí",1,0)</f>
        <v>1</v>
      </c>
      <c r="N9" s="15">
        <v>30</v>
      </c>
      <c r="O9" s="24">
        <v>2</v>
      </c>
    </row>
    <row r="10" spans="1:15" x14ac:dyDescent="0.25">
      <c r="A10" s="25" t="s">
        <v>48</v>
      </c>
      <c r="B10" s="56">
        <f>IF(Tareas[[#This Row],[ID]]=1,100/SUM($M$2:$M$24),0)</f>
        <v>4.7619047619047619</v>
      </c>
      <c r="C10" t="s">
        <v>139</v>
      </c>
      <c r="D10" s="4" t="s">
        <v>40</v>
      </c>
      <c r="E10" s="56">
        <f t="shared" ca="1" si="0"/>
        <v>4.7619047619047619</v>
      </c>
      <c r="F10" s="192">
        <v>4.8</v>
      </c>
      <c r="H10" s="2">
        <f t="shared" ref="H10:H58" si="2">I10-O10</f>
        <v>44003</v>
      </c>
      <c r="I10" s="2">
        <f>'Matriz de riesgo SD'!$I$2-N10</f>
        <v>44004</v>
      </c>
      <c r="J10" s="67" t="s">
        <v>41</v>
      </c>
      <c r="K10" t="s">
        <v>42</v>
      </c>
      <c r="L10" s="4"/>
      <c r="M10">
        <f>IF(Tareas[[#This Row],[Activo]]="sí",1,0)</f>
        <v>1</v>
      </c>
      <c r="N10" s="4">
        <v>30</v>
      </c>
      <c r="O10" s="26">
        <v>1</v>
      </c>
    </row>
    <row r="11" spans="1:15" x14ac:dyDescent="0.25">
      <c r="A11" s="23" t="s">
        <v>49</v>
      </c>
      <c r="B11" s="55">
        <f>IF(Tareas[[#This Row],[ID]]=1,100/SUM($M$2:$M$24),0)</f>
        <v>4.7619047619047619</v>
      </c>
      <c r="C11" s="12" t="s">
        <v>139</v>
      </c>
      <c r="D11" s="15" t="s">
        <v>40</v>
      </c>
      <c r="E11" s="55">
        <f t="shared" ca="1" si="0"/>
        <v>4.7619047619047619</v>
      </c>
      <c r="F11" s="192">
        <v>4.8</v>
      </c>
      <c r="G11" s="12"/>
      <c r="H11" s="13">
        <f t="shared" si="2"/>
        <v>44022</v>
      </c>
      <c r="I11" s="13">
        <f>'Matriz de riesgo SD'!$I$2-N11</f>
        <v>44023</v>
      </c>
      <c r="J11" s="67" t="s">
        <v>41</v>
      </c>
      <c r="K11" s="12" t="s">
        <v>42</v>
      </c>
      <c r="L11" s="15"/>
      <c r="M11" s="12">
        <f>IF(Tareas[[#This Row],[Activo]]="sí",1,0)</f>
        <v>1</v>
      </c>
      <c r="N11" s="15">
        <v>11</v>
      </c>
      <c r="O11" s="24">
        <v>1</v>
      </c>
    </row>
    <row r="12" spans="1:15" x14ac:dyDescent="0.25">
      <c r="A12" s="25" t="s">
        <v>198</v>
      </c>
      <c r="B12" s="56">
        <f>IF(Tareas[[#This Row],[ID]]=1,100/SUM($M$2:$M$24),0)</f>
        <v>4.7619047619047619</v>
      </c>
      <c r="C12" t="s">
        <v>139</v>
      </c>
      <c r="D12" s="4" t="s">
        <v>40</v>
      </c>
      <c r="E12" s="56">
        <f t="shared" ca="1" si="0"/>
        <v>4.7619047619047619</v>
      </c>
      <c r="F12" s="192">
        <v>4.8</v>
      </c>
      <c r="H12" s="2">
        <f>I12-O12</f>
        <v>44003</v>
      </c>
      <c r="I12" s="2">
        <f>'Matriz de riesgo SD'!$I$2-N12</f>
        <v>44004</v>
      </c>
      <c r="J12" s="67" t="s">
        <v>41</v>
      </c>
      <c r="K12" t="s">
        <v>42</v>
      </c>
      <c r="L12" s="4"/>
      <c r="M12">
        <f>IF(Tareas[[#This Row],[Activo]]="sí",1,0)</f>
        <v>1</v>
      </c>
      <c r="N12" s="4">
        <v>30</v>
      </c>
      <c r="O12" s="26">
        <v>1</v>
      </c>
    </row>
    <row r="13" spans="1:15" x14ac:dyDescent="0.25">
      <c r="A13" s="23" t="s">
        <v>51</v>
      </c>
      <c r="B13" s="55">
        <f>IF(Tareas[[#This Row],[ID]]=1,100/SUM($M$2:$M$24),0)</f>
        <v>4.7619047619047619</v>
      </c>
      <c r="C13" s="12" t="s">
        <v>139</v>
      </c>
      <c r="D13" s="15" t="s">
        <v>40</v>
      </c>
      <c r="E13" s="55">
        <f t="shared" ca="1" si="0"/>
        <v>4.7619047619047619</v>
      </c>
      <c r="F13" s="192">
        <v>0</v>
      </c>
      <c r="G13" s="12"/>
      <c r="H13" s="13">
        <f t="shared" si="2"/>
        <v>44023</v>
      </c>
      <c r="I13" s="13">
        <f>'Matriz de riesgo SD'!$I$2-N13</f>
        <v>44028</v>
      </c>
      <c r="J13" s="67" t="s">
        <v>41</v>
      </c>
      <c r="K13" s="12" t="s">
        <v>42</v>
      </c>
      <c r="L13" s="15"/>
      <c r="M13" s="12">
        <f>IF(Tareas[[#This Row],[Activo]]="sí",1,0)</f>
        <v>1</v>
      </c>
      <c r="N13" s="15">
        <v>6</v>
      </c>
      <c r="O13" s="24">
        <v>5</v>
      </c>
    </row>
    <row r="14" spans="1:15" x14ac:dyDescent="0.25">
      <c r="A14" s="25" t="s">
        <v>52</v>
      </c>
      <c r="B14" s="56">
        <f>IF(Tareas[[#This Row],[ID]]=1,100/SUM($M$2:$M$24),0)</f>
        <v>4.7619047619047619</v>
      </c>
      <c r="C14" t="s">
        <v>139</v>
      </c>
      <c r="D14" s="4" t="s">
        <v>40</v>
      </c>
      <c r="E14" s="56">
        <f t="shared" ca="1" si="0"/>
        <v>4.7619047619047619</v>
      </c>
      <c r="F14" s="192">
        <v>4.8</v>
      </c>
      <c r="H14" s="2">
        <f t="shared" si="2"/>
        <v>44005</v>
      </c>
      <c r="I14" s="2">
        <f>'Matriz de riesgo SD'!$I$2-N14</f>
        <v>44006</v>
      </c>
      <c r="J14" s="67" t="s">
        <v>41</v>
      </c>
      <c r="K14" t="s">
        <v>42</v>
      </c>
      <c r="L14" s="4"/>
      <c r="M14">
        <f>IF(Tareas[[#This Row],[Activo]]="sí",1,0)</f>
        <v>1</v>
      </c>
      <c r="N14" s="4">
        <v>28</v>
      </c>
      <c r="O14" s="26">
        <v>1</v>
      </c>
    </row>
    <row r="15" spans="1:15" x14ac:dyDescent="0.25">
      <c r="A15" s="23" t="s">
        <v>54</v>
      </c>
      <c r="B15" s="55">
        <f>IF(Tareas[[#This Row],[ID]]=1,100/SUM($M$2:$M$24),0)</f>
        <v>4.7619047619047619</v>
      </c>
      <c r="C15" s="12" t="s">
        <v>139</v>
      </c>
      <c r="D15" s="15" t="s">
        <v>40</v>
      </c>
      <c r="E15" s="55">
        <f t="shared" ca="1" si="0"/>
        <v>4.7619047619047619</v>
      </c>
      <c r="F15" s="192">
        <v>4.8</v>
      </c>
      <c r="G15" s="12"/>
      <c r="H15" s="13">
        <f t="shared" si="2"/>
        <v>44002</v>
      </c>
      <c r="I15" s="13">
        <f>'Matriz de riesgo SD'!$I$2-N15</f>
        <v>44004</v>
      </c>
      <c r="J15" s="67" t="s">
        <v>41</v>
      </c>
      <c r="K15" s="12" t="s">
        <v>42</v>
      </c>
      <c r="L15" s="15"/>
      <c r="M15" s="12">
        <f>IF(Tareas[[#This Row],[Activo]]="sí",1,0)</f>
        <v>1</v>
      </c>
      <c r="N15" s="15">
        <v>30</v>
      </c>
      <c r="O15" s="24">
        <v>2</v>
      </c>
    </row>
    <row r="16" spans="1:15" x14ac:dyDescent="0.25">
      <c r="A16" s="25" t="s">
        <v>55</v>
      </c>
      <c r="B16" s="56">
        <f>IF(Tareas[[#This Row],[ID]]=1,100/SUM($M$2:$M$24),0)</f>
        <v>4.7619047619047619</v>
      </c>
      <c r="C16" t="s">
        <v>139</v>
      </c>
      <c r="D16" s="4" t="s">
        <v>40</v>
      </c>
      <c r="E16" s="56">
        <f t="shared" ca="1" si="0"/>
        <v>4.7619047619047619</v>
      </c>
      <c r="F16" s="192">
        <v>4.8</v>
      </c>
      <c r="H16" s="2">
        <f t="shared" si="2"/>
        <v>44005</v>
      </c>
      <c r="I16" s="2">
        <f>'Matriz de riesgo SD'!$I$2-N16</f>
        <v>44006</v>
      </c>
      <c r="J16" s="67" t="s">
        <v>41</v>
      </c>
      <c r="K16" t="s">
        <v>42</v>
      </c>
      <c r="L16" s="4"/>
      <c r="M16">
        <f>IF(Tareas[[#This Row],[Activo]]="sí",1,0)</f>
        <v>1</v>
      </c>
      <c r="N16" s="4">
        <v>28</v>
      </c>
      <c r="O16" s="26">
        <v>1</v>
      </c>
    </row>
    <row r="17" spans="1:15" x14ac:dyDescent="0.25">
      <c r="A17" s="23" t="s">
        <v>56</v>
      </c>
      <c r="B17" s="55">
        <f>IF(Tareas[[#This Row],[ID]]=1,100/SUM($M$2:$M$24),0)</f>
        <v>4.7619047619047619</v>
      </c>
      <c r="C17" s="12" t="s">
        <v>139</v>
      </c>
      <c r="D17" s="15" t="s">
        <v>40</v>
      </c>
      <c r="E17" s="55">
        <f t="shared" ca="1" si="0"/>
        <v>4.7619047619047619</v>
      </c>
      <c r="F17" s="192">
        <v>0</v>
      </c>
      <c r="G17" s="12"/>
      <c r="H17" s="13">
        <f t="shared" si="2"/>
        <v>44003</v>
      </c>
      <c r="I17" s="13">
        <f>'Matriz de riesgo SD'!$I$2-N17</f>
        <v>44004</v>
      </c>
      <c r="J17" s="67" t="s">
        <v>41</v>
      </c>
      <c r="K17" s="12" t="s">
        <v>42</v>
      </c>
      <c r="L17" s="15"/>
      <c r="M17" s="12">
        <f>IF(Tareas[[#This Row],[Activo]]="sí",1,0)</f>
        <v>1</v>
      </c>
      <c r="N17" s="15">
        <v>30</v>
      </c>
      <c r="O17" s="24">
        <v>1</v>
      </c>
    </row>
    <row r="18" spans="1:15" x14ac:dyDescent="0.25">
      <c r="A18" s="25" t="s">
        <v>57</v>
      </c>
      <c r="B18" s="56">
        <f>IF(Tareas[[#This Row],[ID]]=1,100/SUM($M$2:$M$24),0)</f>
        <v>4.7619047619047619</v>
      </c>
      <c r="C18" t="s">
        <v>139</v>
      </c>
      <c r="D18" s="4" t="s">
        <v>40</v>
      </c>
      <c r="E18" s="56">
        <f t="shared" ca="1" si="0"/>
        <v>4.7619047619047619</v>
      </c>
      <c r="F18" s="192">
        <v>0</v>
      </c>
      <c r="H18" s="2">
        <f t="shared" si="2"/>
        <v>44003</v>
      </c>
      <c r="I18" s="2">
        <f>'Matriz de riesgo SD'!$I$2-N18</f>
        <v>44004</v>
      </c>
      <c r="J18" s="67" t="s">
        <v>41</v>
      </c>
      <c r="K18" t="s">
        <v>42</v>
      </c>
      <c r="L18" s="4"/>
      <c r="M18">
        <f>IF(Tareas[[#This Row],[Activo]]="sí",1,0)</f>
        <v>1</v>
      </c>
      <c r="N18" s="4">
        <v>30</v>
      </c>
      <c r="O18" s="26">
        <v>1</v>
      </c>
    </row>
    <row r="19" spans="1:15" x14ac:dyDescent="0.25">
      <c r="A19" s="23" t="s">
        <v>58</v>
      </c>
      <c r="B19" s="55">
        <f>IF(Tareas[[#This Row],[ID]]=1,100/SUM($M$2:$M$24),0)</f>
        <v>4.7619047619047619</v>
      </c>
      <c r="C19" s="12" t="s">
        <v>139</v>
      </c>
      <c r="D19" s="15" t="s">
        <v>40</v>
      </c>
      <c r="E19" s="55">
        <f t="shared" ca="1" si="0"/>
        <v>4.7619047619047619</v>
      </c>
      <c r="F19" s="192">
        <v>0</v>
      </c>
      <c r="G19" s="12"/>
      <c r="H19" s="13">
        <f t="shared" si="2"/>
        <v>44003</v>
      </c>
      <c r="I19" s="13">
        <f>'Matriz de riesgo SD'!$I$2-N19</f>
        <v>44004</v>
      </c>
      <c r="J19" s="67" t="s">
        <v>41</v>
      </c>
      <c r="K19" s="12" t="s">
        <v>42</v>
      </c>
      <c r="L19" s="15"/>
      <c r="M19" s="12">
        <f>IF(Tareas[[#This Row],[Activo]]="sí",1,0)</f>
        <v>1</v>
      </c>
      <c r="N19" s="15">
        <v>30</v>
      </c>
      <c r="O19" s="24">
        <v>1</v>
      </c>
    </row>
    <row r="20" spans="1:15" x14ac:dyDescent="0.25">
      <c r="A20" s="25" t="s">
        <v>59</v>
      </c>
      <c r="B20" s="56">
        <f>IF(Tareas[[#This Row],[ID]]=1,100/SUM($M$2:$M$24),0)</f>
        <v>4.7619047619047619</v>
      </c>
      <c r="C20" t="s">
        <v>139</v>
      </c>
      <c r="D20" s="4" t="s">
        <v>40</v>
      </c>
      <c r="E20" s="56">
        <f t="shared" ca="1" si="0"/>
        <v>4.7619047619047619</v>
      </c>
      <c r="F20" s="192">
        <v>0</v>
      </c>
      <c r="H20" s="2">
        <f t="shared" si="2"/>
        <v>44018</v>
      </c>
      <c r="I20" s="2">
        <f>'Matriz de riesgo SD'!$I$2-N20</f>
        <v>44019</v>
      </c>
      <c r="J20" s="67" t="s">
        <v>41</v>
      </c>
      <c r="K20" t="s">
        <v>42</v>
      </c>
      <c r="L20" s="4"/>
      <c r="M20">
        <f>IF(Tareas[[#This Row],[Activo]]="sí",1,0)</f>
        <v>1</v>
      </c>
      <c r="N20" s="4">
        <v>15</v>
      </c>
      <c r="O20" s="26">
        <v>1</v>
      </c>
    </row>
    <row r="21" spans="1:15" x14ac:dyDescent="0.25">
      <c r="A21" s="23" t="s">
        <v>60</v>
      </c>
      <c r="B21" s="55">
        <f>IF(Tareas[[#This Row],[ID]]=1,100/SUM($M$2:$M$24),0)</f>
        <v>4.7619047619047619</v>
      </c>
      <c r="C21" s="12" t="s">
        <v>139</v>
      </c>
      <c r="D21" s="15" t="s">
        <v>40</v>
      </c>
      <c r="E21" s="55">
        <f t="shared" ca="1" si="0"/>
        <v>4.7619047619047619</v>
      </c>
      <c r="F21" s="192">
        <v>0</v>
      </c>
      <c r="G21" s="12"/>
      <c r="H21" s="13">
        <f t="shared" si="2"/>
        <v>44021</v>
      </c>
      <c r="I21" s="13">
        <f>'Matriz de riesgo SD'!$I$2-N21</f>
        <v>44022</v>
      </c>
      <c r="J21" s="67" t="s">
        <v>41</v>
      </c>
      <c r="K21" s="12" t="s">
        <v>42</v>
      </c>
      <c r="L21" s="15"/>
      <c r="M21" s="12">
        <f>IF(Tareas[[#This Row],[Activo]]="sí",1,0)</f>
        <v>1</v>
      </c>
      <c r="N21" s="15">
        <v>12</v>
      </c>
      <c r="O21" s="24">
        <v>1</v>
      </c>
    </row>
    <row r="22" spans="1:15" x14ac:dyDescent="0.25">
      <c r="A22" s="25" t="s">
        <v>61</v>
      </c>
      <c r="B22" s="56">
        <f>IF(Tareas[[#This Row],[ID]]=1,100/SUM($M$2:$M$24),0)</f>
        <v>4.7619047619047619</v>
      </c>
      <c r="C22" t="s">
        <v>139</v>
      </c>
      <c r="D22" s="4" t="s">
        <v>40</v>
      </c>
      <c r="E22" s="56">
        <f t="shared" ca="1" si="0"/>
        <v>4.7619047619047619</v>
      </c>
      <c r="F22" s="192">
        <v>0</v>
      </c>
      <c r="H22" s="2">
        <f t="shared" si="2"/>
        <v>44018</v>
      </c>
      <c r="I22" s="2">
        <f>'Matriz de riesgo SD'!$I$2-N22</f>
        <v>44019</v>
      </c>
      <c r="J22" s="67" t="s">
        <v>41</v>
      </c>
      <c r="K22" t="s">
        <v>42</v>
      </c>
      <c r="L22" s="4"/>
      <c r="M22">
        <f>IF(Tareas[[#This Row],[Activo]]="sí",1,0)</f>
        <v>1</v>
      </c>
      <c r="N22" s="4">
        <v>15</v>
      </c>
      <c r="O22" s="26">
        <v>1</v>
      </c>
    </row>
    <row r="23" spans="1:15" x14ac:dyDescent="0.25">
      <c r="A23" s="23" t="s">
        <v>62</v>
      </c>
      <c r="B23" s="55">
        <f>IF(Tareas[[#This Row],[ID]]=1,100/SUM($M$2:$M$24),0)</f>
        <v>4.7619047619047619</v>
      </c>
      <c r="C23" s="12" t="s">
        <v>139</v>
      </c>
      <c r="D23" s="15" t="s">
        <v>40</v>
      </c>
      <c r="E23" s="55">
        <f t="shared" ca="1" si="0"/>
        <v>4.7619047619047619</v>
      </c>
      <c r="F23" s="192">
        <v>0</v>
      </c>
      <c r="G23" s="12"/>
      <c r="H23" s="13">
        <f t="shared" si="2"/>
        <v>44025</v>
      </c>
      <c r="I23" s="13">
        <f>'Matriz de riesgo SD'!$I$2-N23</f>
        <v>44027</v>
      </c>
      <c r="J23" s="67" t="s">
        <v>41</v>
      </c>
      <c r="K23" s="12" t="s">
        <v>42</v>
      </c>
      <c r="L23" s="15"/>
      <c r="M23" s="12">
        <f>IF(Tareas[[#This Row],[Activo]]="sí",1,0)</f>
        <v>1</v>
      </c>
      <c r="N23" s="15">
        <v>7</v>
      </c>
      <c r="O23" s="24">
        <v>2</v>
      </c>
    </row>
    <row r="24" spans="1:15" ht="15.75" thickBot="1" x14ac:dyDescent="0.3">
      <c r="A24" s="27" t="s">
        <v>63</v>
      </c>
      <c r="B24" s="57">
        <f>IF(Tareas[[#This Row],[ID]]=1,100/SUM($M$2:$M$24),0)</f>
        <v>4.7619047619047619</v>
      </c>
      <c r="C24" s="29" t="s">
        <v>166</v>
      </c>
      <c r="D24" s="28" t="s">
        <v>40</v>
      </c>
      <c r="E24" s="57">
        <f t="shared" ca="1" si="0"/>
        <v>4.7619047619047619</v>
      </c>
      <c r="F24" s="192">
        <v>0</v>
      </c>
      <c r="G24" s="29"/>
      <c r="H24" s="31">
        <f t="shared" si="2"/>
        <v>44021</v>
      </c>
      <c r="I24" s="31">
        <f>'Matriz de riesgo SD'!$I$2-N24</f>
        <v>44022</v>
      </c>
      <c r="J24" s="67" t="s">
        <v>41</v>
      </c>
      <c r="K24" s="29" t="s">
        <v>42</v>
      </c>
      <c r="L24" s="28"/>
      <c r="M24" s="29">
        <f>IF(Tareas[[#This Row],[Activo]]="sí",1,0)</f>
        <v>1</v>
      </c>
      <c r="N24" s="28">
        <v>12</v>
      </c>
      <c r="O24" s="32">
        <v>1</v>
      </c>
    </row>
    <row r="25" spans="1:15" x14ac:dyDescent="0.25">
      <c r="A25" s="33" t="s">
        <v>206</v>
      </c>
      <c r="B25" s="59">
        <f>IF(Tareas[[#This Row],[ID]]=1,100/SUM($M$25:$M$32),0)</f>
        <v>25</v>
      </c>
      <c r="C25" s="35" t="s">
        <v>166</v>
      </c>
      <c r="D25" s="35" t="s">
        <v>199</v>
      </c>
      <c r="E25" s="59">
        <f t="shared" ca="1" si="0"/>
        <v>25</v>
      </c>
      <c r="F25" s="192">
        <v>25</v>
      </c>
      <c r="G25" s="35"/>
      <c r="H25" s="36">
        <f t="shared" si="2"/>
        <v>44001</v>
      </c>
      <c r="I25" s="36">
        <f>'Matriz de riesgo SD'!$I$2-N25</f>
        <v>44004</v>
      </c>
      <c r="J25" s="67" t="s">
        <v>41</v>
      </c>
      <c r="K25" s="35" t="s">
        <v>42</v>
      </c>
      <c r="L25" s="37"/>
      <c r="M25" s="34">
        <f>IF(Tareas[[#This Row],[Activo]]="sí",1,0)</f>
        <v>1</v>
      </c>
      <c r="N25" s="35">
        <v>30</v>
      </c>
      <c r="O25" s="38">
        <v>3</v>
      </c>
    </row>
    <row r="26" spans="1:15" hidden="1" x14ac:dyDescent="0.25">
      <c r="A26" s="25" t="s">
        <v>207</v>
      </c>
      <c r="B26" s="56">
        <f>IF(Tareas[[#This Row],[ID]]=1,100/SUM($M$25:$M$32),0)</f>
        <v>0</v>
      </c>
      <c r="C26" t="s">
        <v>166</v>
      </c>
      <c r="D26" t="s">
        <v>199</v>
      </c>
      <c r="E26" s="56">
        <f t="shared" ca="1" si="0"/>
        <v>0</v>
      </c>
      <c r="F26" s="192">
        <v>0</v>
      </c>
      <c r="H26" s="2">
        <f t="shared" si="2"/>
        <v>44001</v>
      </c>
      <c r="I26" s="2">
        <f>'Matriz de riesgo SD'!$I$2-N26</f>
        <v>44004</v>
      </c>
      <c r="J26" s="67" t="s">
        <v>50</v>
      </c>
      <c r="K26" t="s">
        <v>42</v>
      </c>
      <c r="M26" s="4">
        <f>IF(Tareas[[#This Row],[Activo]]="sí",1,0)</f>
        <v>0</v>
      </c>
      <c r="N26">
        <v>30</v>
      </c>
      <c r="O26" s="26">
        <v>3</v>
      </c>
    </row>
    <row r="27" spans="1:15" x14ac:dyDescent="0.25">
      <c r="A27" s="39" t="s">
        <v>208</v>
      </c>
      <c r="B27" s="53">
        <f>IF(Tareas[[#This Row],[ID]]=1,100/SUM($M$25:$M$32),0)</f>
        <v>25</v>
      </c>
      <c r="C27" s="5" t="s">
        <v>166</v>
      </c>
      <c r="D27" s="5" t="s">
        <v>199</v>
      </c>
      <c r="E27" s="53">
        <f t="shared" ca="1" si="0"/>
        <v>25</v>
      </c>
      <c r="F27" s="192">
        <v>25</v>
      </c>
      <c r="G27" s="5"/>
      <c r="H27" s="6">
        <f t="shared" si="2"/>
        <v>44001</v>
      </c>
      <c r="I27" s="6">
        <f>'Matriz de riesgo SD'!$I$2-N27</f>
        <v>44004</v>
      </c>
      <c r="J27" s="67" t="s">
        <v>41</v>
      </c>
      <c r="K27" s="5" t="s">
        <v>42</v>
      </c>
      <c r="L27" s="7"/>
      <c r="M27" s="8">
        <f>IF(Tareas[[#This Row],[Activo]]="sí",1,0)</f>
        <v>1</v>
      </c>
      <c r="N27" s="5">
        <v>30</v>
      </c>
      <c r="O27" s="40">
        <v>3</v>
      </c>
    </row>
    <row r="28" spans="1:15" x14ac:dyDescent="0.25">
      <c r="A28" s="25" t="s">
        <v>209</v>
      </c>
      <c r="B28" s="56">
        <f>IF(Tareas[[#This Row],[ID]]=1,100/SUM($M$25:$M$32),0)</f>
        <v>25</v>
      </c>
      <c r="C28" t="s">
        <v>166</v>
      </c>
      <c r="D28" t="s">
        <v>199</v>
      </c>
      <c r="E28" s="56">
        <f t="shared" ca="1" si="0"/>
        <v>25</v>
      </c>
      <c r="F28" s="192">
        <v>25</v>
      </c>
      <c r="H28" s="2">
        <f t="shared" si="2"/>
        <v>44001</v>
      </c>
      <c r="I28" s="2">
        <f>'Matriz de riesgo SD'!$I$2-N28</f>
        <v>44004</v>
      </c>
      <c r="J28" s="67" t="s">
        <v>41</v>
      </c>
      <c r="K28" t="s">
        <v>42</v>
      </c>
      <c r="M28" s="4">
        <f>IF(Tareas[[#This Row],[Activo]]="sí",1,0)</f>
        <v>1</v>
      </c>
      <c r="N28">
        <v>30</v>
      </c>
      <c r="O28" s="26">
        <v>3</v>
      </c>
    </row>
    <row r="29" spans="1:15" ht="15.75" thickBot="1" x14ac:dyDescent="0.3">
      <c r="A29" s="39" t="s">
        <v>210</v>
      </c>
      <c r="B29" s="53">
        <f>IF(Tareas[[#This Row],[ID]]=1,100/SUM($M$25:$M$32),0)</f>
        <v>25</v>
      </c>
      <c r="C29" s="5" t="s">
        <v>166</v>
      </c>
      <c r="D29" s="5" t="s">
        <v>199</v>
      </c>
      <c r="E29" s="53">
        <f t="shared" ca="1" si="0"/>
        <v>25</v>
      </c>
      <c r="F29" s="192">
        <v>25</v>
      </c>
      <c r="G29" s="5"/>
      <c r="H29" s="6">
        <f t="shared" si="2"/>
        <v>44001</v>
      </c>
      <c r="I29" s="6">
        <f>'Matriz de riesgo SD'!$I$2-N29</f>
        <v>44004</v>
      </c>
      <c r="J29" s="67" t="s">
        <v>41</v>
      </c>
      <c r="K29" s="5" t="s">
        <v>42</v>
      </c>
      <c r="L29" s="7"/>
      <c r="M29" s="8">
        <f>IF(Tareas[[#This Row],[Activo]]="sí",1,0)</f>
        <v>1</v>
      </c>
      <c r="N29" s="5">
        <v>30</v>
      </c>
      <c r="O29" s="40">
        <v>3</v>
      </c>
    </row>
    <row r="30" spans="1:15" ht="15.75" hidden="1" thickBot="1" x14ac:dyDescent="0.3">
      <c r="A30" s="25" t="s">
        <v>211</v>
      </c>
      <c r="B30" s="56">
        <f>IF(Tareas[[#This Row],[ID]]=1,100/SUM($M$25:$M$32),0)</f>
        <v>0</v>
      </c>
      <c r="C30" t="s">
        <v>139</v>
      </c>
      <c r="D30" t="s">
        <v>199</v>
      </c>
      <c r="E30" s="56">
        <f t="shared" ca="1" si="0"/>
        <v>0</v>
      </c>
      <c r="F30" s="192">
        <v>0</v>
      </c>
      <c r="H30" s="2">
        <f t="shared" si="2"/>
        <v>44001</v>
      </c>
      <c r="I30" s="2">
        <f>'Matriz de riesgo SD'!$I$2-N30</f>
        <v>44004</v>
      </c>
      <c r="J30" s="67" t="s">
        <v>50</v>
      </c>
      <c r="K30" t="s">
        <v>42</v>
      </c>
      <c r="M30" s="4">
        <f>IF(Tareas[[#This Row],[Activo]]="sí",1,0)</f>
        <v>0</v>
      </c>
      <c r="N30">
        <v>30</v>
      </c>
      <c r="O30" s="26">
        <v>3</v>
      </c>
    </row>
    <row r="31" spans="1:15" ht="15.75" hidden="1" thickBot="1" x14ac:dyDescent="0.3">
      <c r="A31" s="39" t="s">
        <v>212</v>
      </c>
      <c r="B31" s="53">
        <f>IF(Tareas[[#This Row],[ID]]=1,100/SUM($M$25:$M$32),0)</f>
        <v>0</v>
      </c>
      <c r="C31" s="5" t="s">
        <v>139</v>
      </c>
      <c r="D31" s="5" t="s">
        <v>199</v>
      </c>
      <c r="E31" s="53">
        <f t="shared" ca="1" si="0"/>
        <v>0</v>
      </c>
      <c r="F31" s="192">
        <v>0</v>
      </c>
      <c r="G31" s="5"/>
      <c r="H31" s="6">
        <f t="shared" si="2"/>
        <v>44001</v>
      </c>
      <c r="I31" s="6">
        <f>'Matriz de riesgo SD'!$I$2-N31</f>
        <v>44004</v>
      </c>
      <c r="J31" s="67" t="s">
        <v>50</v>
      </c>
      <c r="K31" s="5" t="s">
        <v>42</v>
      </c>
      <c r="L31" s="7"/>
      <c r="M31" s="8">
        <f>IF(Tareas[[#This Row],[Activo]]="sí",1,0)</f>
        <v>0</v>
      </c>
      <c r="N31" s="5">
        <v>30</v>
      </c>
      <c r="O31" s="40">
        <v>3</v>
      </c>
    </row>
    <row r="32" spans="1:15" ht="15.75" hidden="1" thickBot="1" x14ac:dyDescent="0.3">
      <c r="A32" s="27" t="s">
        <v>213</v>
      </c>
      <c r="B32" s="57">
        <f>IF(Tareas[[#This Row],[ID]]=1,100/SUM($M$25:$M$32),0)</f>
        <v>0</v>
      </c>
      <c r="C32" s="29" t="s">
        <v>139</v>
      </c>
      <c r="D32" s="29" t="s">
        <v>199</v>
      </c>
      <c r="E32" s="57">
        <f t="shared" ca="1" si="0"/>
        <v>0</v>
      </c>
      <c r="F32" s="192">
        <v>0</v>
      </c>
      <c r="G32" s="29"/>
      <c r="H32" s="31">
        <f t="shared" si="2"/>
        <v>44001</v>
      </c>
      <c r="I32" s="31">
        <f>'Matriz de riesgo SD'!$I$2-N32</f>
        <v>44004</v>
      </c>
      <c r="J32" s="67" t="s">
        <v>50</v>
      </c>
      <c r="K32" s="29" t="s">
        <v>42</v>
      </c>
      <c r="L32" s="41"/>
      <c r="M32" s="28">
        <f>IF(Tareas[[#This Row],[Activo]]="sí",1,0)</f>
        <v>0</v>
      </c>
      <c r="N32" s="29">
        <v>30</v>
      </c>
      <c r="O32" s="32">
        <v>3</v>
      </c>
    </row>
    <row r="33" spans="1:15" x14ac:dyDescent="0.25">
      <c r="A33" s="42" t="s">
        <v>75</v>
      </c>
      <c r="B33" s="58">
        <f>IF(Tareas[[#This Row],[ID]]=1,100/SUM($M$33:$M$46),0)</f>
        <v>9.0909090909090917</v>
      </c>
      <c r="C33" s="43" t="s">
        <v>139</v>
      </c>
      <c r="D33" s="43" t="s">
        <v>200</v>
      </c>
      <c r="E33" s="58">
        <f t="shared" ca="1" si="0"/>
        <v>9.0909090909090917</v>
      </c>
      <c r="F33" s="192">
        <v>9.1</v>
      </c>
      <c r="G33" s="43"/>
      <c r="H33" s="44">
        <f t="shared" si="2"/>
        <v>43992</v>
      </c>
      <c r="I33" s="44">
        <f>'Matriz de riesgo SD'!$I$2-N33</f>
        <v>43994</v>
      </c>
      <c r="J33" s="67" t="s">
        <v>41</v>
      </c>
      <c r="K33" s="43" t="s">
        <v>42</v>
      </c>
      <c r="L33" s="45"/>
      <c r="M33" s="19">
        <f>IF(Tareas[[#This Row],[Activo]]="sí",1,0)</f>
        <v>1</v>
      </c>
      <c r="N33" s="43">
        <v>40</v>
      </c>
      <c r="O33" s="46">
        <v>2</v>
      </c>
    </row>
    <row r="34" spans="1:15" x14ac:dyDescent="0.25">
      <c r="A34" s="25" t="s">
        <v>77</v>
      </c>
      <c r="B34" s="56">
        <f>IF(Tareas[[#This Row],[ID]]=1,100/SUM($M$33:$M$46),0)</f>
        <v>9.0909090909090917</v>
      </c>
      <c r="C34" t="s">
        <v>139</v>
      </c>
      <c r="D34" s="4" t="s">
        <v>200</v>
      </c>
      <c r="E34" s="56">
        <f t="shared" ca="1" si="0"/>
        <v>9.0909090909090917</v>
      </c>
      <c r="F34" s="192">
        <v>9.1</v>
      </c>
      <c r="H34" s="2">
        <f t="shared" si="2"/>
        <v>43991</v>
      </c>
      <c r="I34" s="2">
        <f>'Matriz de riesgo SD'!$I$2-N34</f>
        <v>43994</v>
      </c>
      <c r="J34" s="67" t="s">
        <v>41</v>
      </c>
      <c r="K34" t="s">
        <v>42</v>
      </c>
      <c r="L34" s="4"/>
      <c r="M34">
        <f>IF(Tareas[[#This Row],[Activo]]="sí",1,0)</f>
        <v>1</v>
      </c>
      <c r="N34" s="4">
        <v>40</v>
      </c>
      <c r="O34" s="26">
        <v>3</v>
      </c>
    </row>
    <row r="35" spans="1:15" x14ac:dyDescent="0.25">
      <c r="A35" s="23" t="s">
        <v>78</v>
      </c>
      <c r="B35" s="55">
        <f>IF(Tareas[[#This Row],[ID]]=1,100/SUM($M$33:$M$46),0)</f>
        <v>9.0909090909090917</v>
      </c>
      <c r="C35" s="12" t="s">
        <v>139</v>
      </c>
      <c r="D35" s="12" t="s">
        <v>200</v>
      </c>
      <c r="E35" s="55">
        <f t="shared" ca="1" si="0"/>
        <v>9.0909090909090917</v>
      </c>
      <c r="F35" s="192">
        <v>9.1</v>
      </c>
      <c r="G35" s="12"/>
      <c r="H35" s="13">
        <f t="shared" si="2"/>
        <v>44003</v>
      </c>
      <c r="I35" s="13">
        <f>'Matriz de riesgo SD'!$I$2-N35</f>
        <v>44004</v>
      </c>
      <c r="J35" s="67" t="s">
        <v>41</v>
      </c>
      <c r="K35" s="12" t="s">
        <v>42</v>
      </c>
      <c r="L35" s="14"/>
      <c r="M35" s="15">
        <f>IF(Tareas[[#This Row],[Activo]]="sí",1,0)</f>
        <v>1</v>
      </c>
      <c r="N35" s="12">
        <v>30</v>
      </c>
      <c r="O35" s="24">
        <v>1</v>
      </c>
    </row>
    <row r="36" spans="1:15" x14ac:dyDescent="0.25">
      <c r="A36" s="25" t="s">
        <v>79</v>
      </c>
      <c r="B36" s="56">
        <f>IF(Tareas[[#This Row],[ID]]=1,100/SUM($M$33:$M$46),0)</f>
        <v>9.0909090909090917</v>
      </c>
      <c r="C36" t="s">
        <v>139</v>
      </c>
      <c r="D36" s="4" t="s">
        <v>200</v>
      </c>
      <c r="E36" s="56">
        <f t="shared" ca="1" si="0"/>
        <v>9.0909090909090917</v>
      </c>
      <c r="F36" s="192">
        <v>0</v>
      </c>
      <c r="H36" s="2">
        <f t="shared" si="2"/>
        <v>44021</v>
      </c>
      <c r="I36" s="2">
        <f>'Matriz de riesgo SD'!$I$2-N36</f>
        <v>44022</v>
      </c>
      <c r="J36" s="67" t="s">
        <v>41</v>
      </c>
      <c r="K36" t="s">
        <v>42</v>
      </c>
      <c r="L36" s="4"/>
      <c r="M36">
        <f>IF(Tareas[[#This Row],[Activo]]="sí",1,0)</f>
        <v>1</v>
      </c>
      <c r="N36" s="4">
        <v>12</v>
      </c>
      <c r="O36" s="26">
        <v>1</v>
      </c>
    </row>
    <row r="37" spans="1:15" x14ac:dyDescent="0.25">
      <c r="A37" s="23" t="s">
        <v>298</v>
      </c>
      <c r="B37" s="55">
        <f>IF(Tareas[[#This Row],[ID]]=1,100/SUM($M$33:$M$46),0)</f>
        <v>9.0909090909090917</v>
      </c>
      <c r="C37" s="12" t="s">
        <v>139</v>
      </c>
      <c r="D37" s="12" t="s">
        <v>200</v>
      </c>
      <c r="E37" s="55">
        <f t="shared" ca="1" si="0"/>
        <v>9.0909090909090917</v>
      </c>
      <c r="F37" s="192">
        <v>0</v>
      </c>
      <c r="G37" s="12"/>
      <c r="H37" s="13">
        <f t="shared" si="2"/>
        <v>44013</v>
      </c>
      <c r="I37" s="13">
        <f>'Matriz de riesgo SD'!$I$2-N37</f>
        <v>44014</v>
      </c>
      <c r="J37" s="67" t="s">
        <v>41</v>
      </c>
      <c r="K37" s="12" t="s">
        <v>42</v>
      </c>
      <c r="L37" s="14"/>
      <c r="M37" s="15">
        <f>IF(Tareas[[#This Row],[Activo]]="sí",1,0)</f>
        <v>1</v>
      </c>
      <c r="N37" s="12">
        <v>20</v>
      </c>
      <c r="O37" s="24">
        <v>1</v>
      </c>
    </row>
    <row r="38" spans="1:15" x14ac:dyDescent="0.25">
      <c r="A38" s="25" t="s">
        <v>296</v>
      </c>
      <c r="B38" s="56">
        <f>IF(Tareas[[#This Row],[ID]]=1,100/SUM($M$33:$M$46),0)</f>
        <v>9.0909090909090917</v>
      </c>
      <c r="C38" t="s">
        <v>139</v>
      </c>
      <c r="D38" s="4" t="s">
        <v>200</v>
      </c>
      <c r="E38" s="56">
        <f t="shared" ca="1" si="0"/>
        <v>9.0909090909090917</v>
      </c>
      <c r="F38" s="192">
        <v>0</v>
      </c>
      <c r="H38" s="2">
        <f t="shared" si="2"/>
        <v>44015</v>
      </c>
      <c r="I38" s="2">
        <f>'Matriz de riesgo SD'!$I$2-N38</f>
        <v>44016</v>
      </c>
      <c r="J38" s="67" t="s">
        <v>41</v>
      </c>
      <c r="K38" t="s">
        <v>42</v>
      </c>
      <c r="L38" s="4"/>
      <c r="M38">
        <f>IF(Tareas[[#This Row],[Activo]]="sí",1,0)</f>
        <v>1</v>
      </c>
      <c r="N38" s="4">
        <v>18</v>
      </c>
      <c r="O38" s="26">
        <v>1</v>
      </c>
    </row>
    <row r="39" spans="1:15" x14ac:dyDescent="0.25">
      <c r="A39" s="23" t="s">
        <v>297</v>
      </c>
      <c r="B39" s="55">
        <f>IF(Tareas[[#This Row],[ID]]=1,100/SUM($M$33:$M$46),0)</f>
        <v>9.0909090909090917</v>
      </c>
      <c r="C39" s="12" t="s">
        <v>139</v>
      </c>
      <c r="D39" s="12" t="s">
        <v>200</v>
      </c>
      <c r="E39" s="55">
        <f t="shared" ca="1" si="0"/>
        <v>9.0909090909090917</v>
      </c>
      <c r="F39" s="192">
        <v>0</v>
      </c>
      <c r="G39" s="12"/>
      <c r="H39" s="13">
        <f t="shared" si="2"/>
        <v>44022</v>
      </c>
      <c r="I39" s="13">
        <f>'Matriz de riesgo SD'!$I$2-N39</f>
        <v>44023</v>
      </c>
      <c r="J39" s="67" t="s">
        <v>41</v>
      </c>
      <c r="K39" s="12" t="s">
        <v>42</v>
      </c>
      <c r="L39" s="14"/>
      <c r="M39" s="15">
        <f>IF(Tareas[[#This Row],[Activo]]="sí",1,0)</f>
        <v>1</v>
      </c>
      <c r="N39" s="12">
        <v>11</v>
      </c>
      <c r="O39" s="24">
        <v>1</v>
      </c>
    </row>
    <row r="40" spans="1:15" x14ac:dyDescent="0.25">
      <c r="A40" s="25" t="s">
        <v>214</v>
      </c>
      <c r="B40" s="56">
        <f>IF(Tareas[[#This Row],[ID]]=1,100/SUM($M$33:$M$46),0)</f>
        <v>9.0909090909090917</v>
      </c>
      <c r="C40" t="s">
        <v>166</v>
      </c>
      <c r="D40" s="4" t="s">
        <v>200</v>
      </c>
      <c r="E40" s="56">
        <f t="shared" ca="1" si="0"/>
        <v>9.0909090909090917</v>
      </c>
      <c r="F40" s="192">
        <v>0</v>
      </c>
      <c r="H40" s="2">
        <f t="shared" si="2"/>
        <v>44021</v>
      </c>
      <c r="I40" s="2">
        <f>'Matriz de riesgo SD'!$I$2-N40</f>
        <v>44022</v>
      </c>
      <c r="J40" s="67" t="s">
        <v>41</v>
      </c>
      <c r="K40" t="s">
        <v>42</v>
      </c>
      <c r="L40" s="4"/>
      <c r="M40">
        <f>IF(Tareas[[#This Row],[Activo]]="sí",1,0)</f>
        <v>1</v>
      </c>
      <c r="N40" s="4">
        <v>12</v>
      </c>
      <c r="O40" s="26">
        <v>1</v>
      </c>
    </row>
    <row r="41" spans="1:15" hidden="1" x14ac:dyDescent="0.25">
      <c r="A41" s="23" t="s">
        <v>215</v>
      </c>
      <c r="B41" s="55">
        <f>IF(Tareas[[#This Row],[ID]]=1,100/SUM($M$33:$M$46),0)</f>
        <v>0</v>
      </c>
      <c r="C41" s="12" t="s">
        <v>166</v>
      </c>
      <c r="D41" s="12" t="s">
        <v>200</v>
      </c>
      <c r="E41" s="55">
        <f t="shared" ca="1" si="0"/>
        <v>0</v>
      </c>
      <c r="F41" s="192">
        <v>0</v>
      </c>
      <c r="G41" s="12"/>
      <c r="H41" s="13">
        <f t="shared" si="2"/>
        <v>44017</v>
      </c>
      <c r="I41" s="13">
        <f>'Matriz de riesgo SD'!$I$2-N41</f>
        <v>44018</v>
      </c>
      <c r="J41" s="67" t="s">
        <v>50</v>
      </c>
      <c r="K41" s="12" t="s">
        <v>42</v>
      </c>
      <c r="L41" s="14"/>
      <c r="M41" s="15">
        <f>IF(Tareas[[#This Row],[Activo]]="sí",1,0)</f>
        <v>0</v>
      </c>
      <c r="N41" s="12">
        <v>16</v>
      </c>
      <c r="O41" s="24">
        <v>1</v>
      </c>
    </row>
    <row r="42" spans="1:15" x14ac:dyDescent="0.25">
      <c r="A42" s="25" t="s">
        <v>216</v>
      </c>
      <c r="B42" s="56">
        <f>IF(Tareas[[#This Row],[ID]]=1,100/SUM($M$33:$M$46),0)</f>
        <v>9.0909090909090917</v>
      </c>
      <c r="C42" t="s">
        <v>166</v>
      </c>
      <c r="D42" s="4" t="s">
        <v>200</v>
      </c>
      <c r="E42" s="56">
        <f t="shared" ca="1" si="0"/>
        <v>9.0909090909090917</v>
      </c>
      <c r="F42" s="192">
        <v>0</v>
      </c>
      <c r="H42" s="2">
        <f t="shared" si="2"/>
        <v>44017</v>
      </c>
      <c r="I42" s="2">
        <f>'Matriz de riesgo SD'!$I$2-N42</f>
        <v>44018</v>
      </c>
      <c r="J42" s="67" t="s">
        <v>41</v>
      </c>
      <c r="K42" t="s">
        <v>42</v>
      </c>
      <c r="L42" s="4"/>
      <c r="M42">
        <f>IF(Tareas[[#This Row],[Activo]]="sí",1,0)</f>
        <v>1</v>
      </c>
      <c r="N42" s="4">
        <v>16</v>
      </c>
      <c r="O42" s="26">
        <v>1</v>
      </c>
    </row>
    <row r="43" spans="1:15" x14ac:dyDescent="0.25">
      <c r="A43" s="23" t="s">
        <v>217</v>
      </c>
      <c r="B43" s="55">
        <f>IF(Tareas[[#This Row],[ID]]=1,100/SUM($M$33:$M$46),0)</f>
        <v>9.0909090909090917</v>
      </c>
      <c r="C43" s="12" t="s">
        <v>166</v>
      </c>
      <c r="D43" s="12" t="s">
        <v>200</v>
      </c>
      <c r="E43" s="55">
        <f t="shared" ca="1" si="0"/>
        <v>9.0909090909090917</v>
      </c>
      <c r="F43" s="192">
        <v>0</v>
      </c>
      <c r="G43" s="12"/>
      <c r="H43" s="13">
        <f t="shared" si="2"/>
        <v>44017</v>
      </c>
      <c r="I43" s="13">
        <f>'Matriz de riesgo SD'!$I$2-N43</f>
        <v>44018</v>
      </c>
      <c r="J43" s="67" t="s">
        <v>41</v>
      </c>
      <c r="K43" s="12" t="s">
        <v>42</v>
      </c>
      <c r="L43" s="14"/>
      <c r="M43" s="15">
        <f>IF(Tareas[[#This Row],[Activo]]="sí",1,0)</f>
        <v>1</v>
      </c>
      <c r="N43" s="12">
        <v>16</v>
      </c>
      <c r="O43" s="24">
        <v>1</v>
      </c>
    </row>
    <row r="44" spans="1:15" ht="15.75" thickBot="1" x14ac:dyDescent="0.3">
      <c r="A44" s="25" t="s">
        <v>218</v>
      </c>
      <c r="B44" s="56">
        <f>IF(Tareas[[#This Row],[ID]]=1,100/SUM($M$33:$M$46),0)</f>
        <v>9.0909090909090917</v>
      </c>
      <c r="C44" t="s">
        <v>166</v>
      </c>
      <c r="D44" s="4" t="s">
        <v>200</v>
      </c>
      <c r="E44" s="56">
        <f t="shared" ca="1" si="0"/>
        <v>9.0909090909090917</v>
      </c>
      <c r="F44" s="192">
        <v>0</v>
      </c>
      <c r="H44" s="2">
        <f t="shared" si="2"/>
        <v>44017</v>
      </c>
      <c r="I44" s="2">
        <f>'Matriz de riesgo SD'!$I$2-N44</f>
        <v>44018</v>
      </c>
      <c r="J44" s="67" t="s">
        <v>41</v>
      </c>
      <c r="K44" t="s">
        <v>42</v>
      </c>
      <c r="L44" s="4"/>
      <c r="M44">
        <f>IF(Tareas[[#This Row],[Activo]]="sí",1,0)</f>
        <v>1</v>
      </c>
      <c r="N44" s="4">
        <v>16</v>
      </c>
      <c r="O44" s="26">
        <v>1</v>
      </c>
    </row>
    <row r="45" spans="1:15" ht="15.75" hidden="1" thickBot="1" x14ac:dyDescent="0.3">
      <c r="A45" s="23" t="s">
        <v>219</v>
      </c>
      <c r="B45" s="55">
        <f>IF(Tareas[[#This Row],[ID]]=1,100/SUM($M$33:$M$46),0)</f>
        <v>0</v>
      </c>
      <c r="C45" s="12" t="s">
        <v>139</v>
      </c>
      <c r="D45" s="12" t="s">
        <v>200</v>
      </c>
      <c r="E45" s="55">
        <f t="shared" ca="1" si="0"/>
        <v>0</v>
      </c>
      <c r="F45" s="192">
        <v>0</v>
      </c>
      <c r="G45" s="12"/>
      <c r="H45" s="13">
        <f t="shared" si="2"/>
        <v>44013</v>
      </c>
      <c r="I45" s="13">
        <f>'Matriz de riesgo SD'!$I$2-N45</f>
        <v>44014</v>
      </c>
      <c r="J45" s="67" t="s">
        <v>50</v>
      </c>
      <c r="K45" s="12" t="s">
        <v>42</v>
      </c>
      <c r="L45" s="14"/>
      <c r="M45" s="15">
        <f>IF(Tareas[[#This Row],[Activo]]="sí",1,0)</f>
        <v>0</v>
      </c>
      <c r="N45" s="12">
        <v>20</v>
      </c>
      <c r="O45" s="24">
        <v>1</v>
      </c>
    </row>
    <row r="46" spans="1:15" ht="15.75" hidden="1" thickBot="1" x14ac:dyDescent="0.3">
      <c r="A46" s="27" t="s">
        <v>220</v>
      </c>
      <c r="B46" s="57">
        <f>IF(Tareas[[#This Row],[ID]]=1,100/SUM($M$33:$M$46),0)</f>
        <v>0</v>
      </c>
      <c r="C46" s="29" t="s">
        <v>139</v>
      </c>
      <c r="D46" s="28" t="s">
        <v>200</v>
      </c>
      <c r="E46" s="57">
        <f t="shared" ca="1" si="0"/>
        <v>0</v>
      </c>
      <c r="F46" s="192">
        <v>0</v>
      </c>
      <c r="G46" s="29"/>
      <c r="H46" s="31">
        <f t="shared" si="2"/>
        <v>44013</v>
      </c>
      <c r="I46" s="31">
        <f>'Matriz de riesgo SD'!$I$2-N46</f>
        <v>44014</v>
      </c>
      <c r="J46" s="67" t="s">
        <v>50</v>
      </c>
      <c r="K46" s="29" t="s">
        <v>42</v>
      </c>
      <c r="L46" s="28"/>
      <c r="M46" s="29">
        <f>IF(Tareas[[#This Row],[Activo]]="sí",1,0)</f>
        <v>0</v>
      </c>
      <c r="N46" s="28">
        <v>20</v>
      </c>
      <c r="O46" s="32">
        <v>1</v>
      </c>
    </row>
    <row r="47" spans="1:15" x14ac:dyDescent="0.25">
      <c r="A47" s="33" t="s">
        <v>301</v>
      </c>
      <c r="B47" s="59">
        <f>IF(Tareas[[#This Row],[ID]]=1,100/SUM($M$47:$M$50),0)</f>
        <v>50</v>
      </c>
      <c r="C47" s="35" t="s">
        <v>166</v>
      </c>
      <c r="D47" s="35" t="s">
        <v>201</v>
      </c>
      <c r="E47" s="59">
        <f t="shared" ca="1" si="0"/>
        <v>50</v>
      </c>
      <c r="F47" s="192">
        <v>50</v>
      </c>
      <c r="G47" s="35"/>
      <c r="H47" s="36">
        <f t="shared" si="2"/>
        <v>43998</v>
      </c>
      <c r="I47" s="36">
        <f>'Matriz de riesgo SD'!$I$2-N47</f>
        <v>43999</v>
      </c>
      <c r="J47" s="67" t="s">
        <v>41</v>
      </c>
      <c r="K47" s="35" t="s">
        <v>42</v>
      </c>
      <c r="L47" s="37"/>
      <c r="M47" s="34">
        <f>IF(Tareas[[#This Row],[Activo]]="sí",1,0)</f>
        <v>1</v>
      </c>
      <c r="N47" s="35">
        <v>35</v>
      </c>
      <c r="O47" s="38">
        <v>1</v>
      </c>
    </row>
    <row r="48" spans="1:15" hidden="1" x14ac:dyDescent="0.25">
      <c r="A48" s="25" t="s">
        <v>284</v>
      </c>
      <c r="B48" s="56">
        <f>IF(Tareas[[#This Row],[ID]]=1,100/SUM($M$47:$M$50),0)</f>
        <v>0</v>
      </c>
      <c r="C48" t="s">
        <v>139</v>
      </c>
      <c r="D48" t="s">
        <v>201</v>
      </c>
      <c r="E48" s="56">
        <f t="shared" ca="1" si="0"/>
        <v>0</v>
      </c>
      <c r="F48" s="192">
        <v>0</v>
      </c>
      <c r="H48" s="2">
        <f t="shared" si="2"/>
        <v>44008</v>
      </c>
      <c r="I48" s="2">
        <f>'Matriz de riesgo SD'!$I$2-N48</f>
        <v>44009</v>
      </c>
      <c r="J48" s="67" t="s">
        <v>50</v>
      </c>
      <c r="K48" t="s">
        <v>42</v>
      </c>
      <c r="M48" s="4">
        <f>IF(Tareas[[#This Row],[Activo]]="sí",1,0)</f>
        <v>0</v>
      </c>
      <c r="N48">
        <v>25</v>
      </c>
      <c r="O48" s="26">
        <v>1</v>
      </c>
    </row>
    <row r="49" spans="1:15" hidden="1" x14ac:dyDescent="0.25">
      <c r="A49" s="39" t="s">
        <v>285</v>
      </c>
      <c r="B49" s="53">
        <f>IF(Tareas[[#This Row],[ID]]=1,100/SUM($M$47:$M$50),0)</f>
        <v>0</v>
      </c>
      <c r="C49" s="5" t="s">
        <v>139</v>
      </c>
      <c r="D49" s="5" t="s">
        <v>201</v>
      </c>
      <c r="E49" s="53">
        <f t="shared" ca="1" si="0"/>
        <v>0</v>
      </c>
      <c r="F49" s="192">
        <v>0</v>
      </c>
      <c r="G49" s="5"/>
      <c r="H49" s="6">
        <f t="shared" si="2"/>
        <v>44028</v>
      </c>
      <c r="I49" s="6">
        <f>'Matriz de riesgo SD'!$I$2-N49</f>
        <v>44029</v>
      </c>
      <c r="J49" s="67" t="s">
        <v>50</v>
      </c>
      <c r="K49" s="5" t="s">
        <v>42</v>
      </c>
      <c r="L49" s="7"/>
      <c r="M49" s="8">
        <f>IF(Tareas[[#This Row],[Activo]]="sí",1,0)</f>
        <v>0</v>
      </c>
      <c r="N49" s="5">
        <v>5</v>
      </c>
      <c r="O49" s="40">
        <v>1</v>
      </c>
    </row>
    <row r="50" spans="1:15" ht="15.75" thickBot="1" x14ac:dyDescent="0.3">
      <c r="A50" s="27" t="s">
        <v>286</v>
      </c>
      <c r="B50" s="57">
        <f>IF(Tareas[[#This Row],[ID]]=1,100/SUM($M$47:$M$50),0)</f>
        <v>50</v>
      </c>
      <c r="C50" s="29" t="s">
        <v>139</v>
      </c>
      <c r="D50" s="29" t="s">
        <v>201</v>
      </c>
      <c r="E50" s="57">
        <f t="shared" ca="1" si="0"/>
        <v>50</v>
      </c>
      <c r="F50" s="192">
        <v>0</v>
      </c>
      <c r="G50" s="29"/>
      <c r="H50" s="31">
        <f t="shared" si="2"/>
        <v>44013</v>
      </c>
      <c r="I50" s="31">
        <f>'Matriz de riesgo SD'!$I$2-N50</f>
        <v>44014</v>
      </c>
      <c r="J50" s="67" t="s">
        <v>41</v>
      </c>
      <c r="K50" s="29" t="s">
        <v>42</v>
      </c>
      <c r="L50" s="41"/>
      <c r="M50" s="28">
        <f>IF(Tareas[[#This Row],[Activo]]="sí",1,0)</f>
        <v>1</v>
      </c>
      <c r="N50" s="29">
        <v>20</v>
      </c>
      <c r="O50" s="32">
        <v>1</v>
      </c>
    </row>
    <row r="51" spans="1:15" x14ac:dyDescent="0.25">
      <c r="A51" s="42" t="s">
        <v>221</v>
      </c>
      <c r="B51" s="58">
        <f>IF(Tareas[[#This Row],[ID]]=1,100/SUM($M$51:$M$58),0)</f>
        <v>14.285714285714286</v>
      </c>
      <c r="C51" s="43" t="s">
        <v>139</v>
      </c>
      <c r="D51" s="43" t="s">
        <v>202</v>
      </c>
      <c r="E51" s="58">
        <f t="shared" ca="1" si="0"/>
        <v>14.285714285714286</v>
      </c>
      <c r="F51" s="192">
        <v>14.3</v>
      </c>
      <c r="G51" s="43"/>
      <c r="H51" s="44">
        <f t="shared" si="2"/>
        <v>43998</v>
      </c>
      <c r="I51" s="44">
        <f>'Matriz de riesgo SD'!$I$2-N51</f>
        <v>43999</v>
      </c>
      <c r="J51" s="67" t="s">
        <v>41</v>
      </c>
      <c r="K51" s="43" t="s">
        <v>42</v>
      </c>
      <c r="L51" s="45"/>
      <c r="M51" s="19">
        <f>IF(Tareas[[#This Row],[Activo]]="sí",1,0)</f>
        <v>1</v>
      </c>
      <c r="N51" s="43">
        <v>35</v>
      </c>
      <c r="O51" s="46">
        <v>1</v>
      </c>
    </row>
    <row r="52" spans="1:15" x14ac:dyDescent="0.25">
      <c r="A52" s="25" t="s">
        <v>84</v>
      </c>
      <c r="B52" s="56">
        <f>IF(Tareas[[#This Row],[ID]]=1,100/SUM($M$51:$M$58),0)</f>
        <v>14.285714285714286</v>
      </c>
      <c r="C52" t="s">
        <v>139</v>
      </c>
      <c r="D52" s="4" t="s">
        <v>202</v>
      </c>
      <c r="E52" s="56">
        <f t="shared" ca="1" si="0"/>
        <v>14.285714285714286</v>
      </c>
      <c r="F52" s="192">
        <v>0</v>
      </c>
      <c r="H52" s="2">
        <f t="shared" si="2"/>
        <v>44021</v>
      </c>
      <c r="I52" s="2">
        <f>'Matriz de riesgo SD'!$I$2-N52</f>
        <v>44022</v>
      </c>
      <c r="J52" s="67" t="s">
        <v>41</v>
      </c>
      <c r="K52" t="s">
        <v>42</v>
      </c>
      <c r="L52" s="4"/>
      <c r="M52">
        <f>IF(Tareas[[#This Row],[Activo]]="sí",1,0)</f>
        <v>1</v>
      </c>
      <c r="N52" s="4">
        <v>12</v>
      </c>
      <c r="O52" s="26">
        <v>1</v>
      </c>
    </row>
    <row r="53" spans="1:15" x14ac:dyDescent="0.25">
      <c r="A53" s="23" t="s">
        <v>222</v>
      </c>
      <c r="B53" s="55">
        <f>IF(Tareas[[#This Row],[ID]]=1,100/SUM($M$51:$M$58),0)</f>
        <v>14.285714285714286</v>
      </c>
      <c r="C53" s="12" t="s">
        <v>139</v>
      </c>
      <c r="D53" s="12" t="s">
        <v>202</v>
      </c>
      <c r="E53" s="55">
        <f t="shared" ca="1" si="0"/>
        <v>14.285714285714286</v>
      </c>
      <c r="F53" s="192">
        <v>14.3</v>
      </c>
      <c r="G53" s="12"/>
      <c r="H53" s="13">
        <f t="shared" si="2"/>
        <v>44003</v>
      </c>
      <c r="I53" s="13">
        <f>'Matriz de riesgo SD'!$I$2-N53</f>
        <v>44004</v>
      </c>
      <c r="J53" s="67" t="s">
        <v>41</v>
      </c>
      <c r="K53" s="12" t="s">
        <v>42</v>
      </c>
      <c r="L53" s="14"/>
      <c r="M53" s="15">
        <f>IF(Tareas[[#This Row],[Activo]]="sí",1,0)</f>
        <v>1</v>
      </c>
      <c r="N53" s="12">
        <v>30</v>
      </c>
      <c r="O53" s="24">
        <v>1</v>
      </c>
    </row>
    <row r="54" spans="1:15" x14ac:dyDescent="0.25">
      <c r="A54" s="25" t="s">
        <v>223</v>
      </c>
      <c r="B54" s="56">
        <f>IF(Tareas[[#This Row],[ID]]=1,100/SUM($M$51:$M$58),0)</f>
        <v>14.285714285714286</v>
      </c>
      <c r="C54" t="s">
        <v>139</v>
      </c>
      <c r="D54" s="4" t="s">
        <v>202</v>
      </c>
      <c r="E54" s="56">
        <f t="shared" ca="1" si="0"/>
        <v>14.285714285714286</v>
      </c>
      <c r="F54" s="192">
        <v>0</v>
      </c>
      <c r="H54" s="2">
        <f t="shared" si="2"/>
        <v>44018</v>
      </c>
      <c r="I54" s="2">
        <f>'Matriz de riesgo SD'!$I$2-N54</f>
        <v>44019</v>
      </c>
      <c r="J54" s="67" t="s">
        <v>41</v>
      </c>
      <c r="K54" t="s">
        <v>42</v>
      </c>
      <c r="L54" s="4"/>
      <c r="M54">
        <f>IF(Tareas[[#This Row],[Activo]]="sí",1,0)</f>
        <v>1</v>
      </c>
      <c r="N54" s="4">
        <v>15</v>
      </c>
      <c r="O54" s="26">
        <v>1</v>
      </c>
    </row>
    <row r="55" spans="1:15" x14ac:dyDescent="0.25">
      <c r="A55" s="23" t="s">
        <v>224</v>
      </c>
      <c r="B55" s="55">
        <f>IF(Tareas[[#This Row],[ID]]=1,100/SUM($M$51:$M$58),0)</f>
        <v>14.285714285714286</v>
      </c>
      <c r="C55" s="12" t="s">
        <v>166</v>
      </c>
      <c r="D55" s="12" t="s">
        <v>202</v>
      </c>
      <c r="E55" s="55">
        <f t="shared" ca="1" si="0"/>
        <v>14.285714285714286</v>
      </c>
      <c r="F55" s="192">
        <v>0</v>
      </c>
      <c r="G55" s="12"/>
      <c r="H55" s="13">
        <f t="shared" si="2"/>
        <v>44018</v>
      </c>
      <c r="I55" s="13">
        <f>'Matriz de riesgo SD'!$I$2-N55</f>
        <v>44019</v>
      </c>
      <c r="J55" s="67" t="s">
        <v>41</v>
      </c>
      <c r="K55" s="12" t="s">
        <v>42</v>
      </c>
      <c r="L55" s="14"/>
      <c r="M55" s="15">
        <f>IF(Tareas[[#This Row],[Activo]]="sí",1,0)</f>
        <v>1</v>
      </c>
      <c r="N55" s="12">
        <v>15</v>
      </c>
      <c r="O55" s="24">
        <v>1</v>
      </c>
    </row>
    <row r="56" spans="1:15" hidden="1" x14ac:dyDescent="0.25">
      <c r="A56" s="25" t="s">
        <v>225</v>
      </c>
      <c r="B56" s="56">
        <f>IF(Tareas[[#This Row],[ID]]=1,100/SUM($M$51:$M$58),0)</f>
        <v>0</v>
      </c>
      <c r="C56" t="s">
        <v>166</v>
      </c>
      <c r="D56" s="4" t="s">
        <v>202</v>
      </c>
      <c r="E56" s="56">
        <f t="shared" ca="1" si="0"/>
        <v>0</v>
      </c>
      <c r="F56" s="192">
        <v>0</v>
      </c>
      <c r="H56" s="2">
        <f t="shared" si="2"/>
        <v>44018</v>
      </c>
      <c r="I56" s="2">
        <f>'Matriz de riesgo SD'!$I$2-N56</f>
        <v>44019</v>
      </c>
      <c r="J56" s="67" t="s">
        <v>50</v>
      </c>
      <c r="K56" t="s">
        <v>42</v>
      </c>
      <c r="L56" s="4"/>
      <c r="M56">
        <f>IF(Tareas[[#This Row],[Activo]]="sí",1,0)</f>
        <v>0</v>
      </c>
      <c r="N56" s="4">
        <v>15</v>
      </c>
      <c r="O56" s="26">
        <v>1</v>
      </c>
    </row>
    <row r="57" spans="1:15" x14ac:dyDescent="0.25">
      <c r="A57" s="23" t="s">
        <v>226</v>
      </c>
      <c r="B57" s="55">
        <f>IF(Tareas[[#This Row],[ID]]=1,100/SUM($M$51:$M$58),0)</f>
        <v>14.285714285714286</v>
      </c>
      <c r="C57" s="12" t="s">
        <v>139</v>
      </c>
      <c r="D57" s="12" t="s">
        <v>202</v>
      </c>
      <c r="E57" s="55">
        <f t="shared" ca="1" si="0"/>
        <v>14.285714285714286</v>
      </c>
      <c r="F57" s="192">
        <v>0</v>
      </c>
      <c r="G57" s="12"/>
      <c r="H57" s="13">
        <f t="shared" si="2"/>
        <v>44018</v>
      </c>
      <c r="I57" s="13">
        <f>'Matriz de riesgo SD'!$I$2-N57</f>
        <v>44019</v>
      </c>
      <c r="J57" s="67" t="s">
        <v>41</v>
      </c>
      <c r="K57" s="12" t="s">
        <v>42</v>
      </c>
      <c r="L57" s="14"/>
      <c r="M57" s="15">
        <f>IF(Tareas[[#This Row],[Activo]]="sí",1,0)</f>
        <v>1</v>
      </c>
      <c r="N57" s="12">
        <v>15</v>
      </c>
      <c r="O57" s="24">
        <v>1</v>
      </c>
    </row>
    <row r="58" spans="1:15" ht="15.75" thickBot="1" x14ac:dyDescent="0.3">
      <c r="A58" s="27" t="s">
        <v>227</v>
      </c>
      <c r="B58" s="57">
        <f>IF(Tareas[[#This Row],[ID]]=1,100/SUM($M$51:$M$58),0)</f>
        <v>14.285714285714286</v>
      </c>
      <c r="C58" s="29" t="s">
        <v>139</v>
      </c>
      <c r="D58" s="28" t="s">
        <v>202</v>
      </c>
      <c r="E58" s="57">
        <f t="shared" ca="1" si="0"/>
        <v>14.285714285714286</v>
      </c>
      <c r="F58" s="192">
        <v>0</v>
      </c>
      <c r="G58" s="29"/>
      <c r="H58" s="31">
        <f t="shared" si="2"/>
        <v>44018</v>
      </c>
      <c r="I58" s="31">
        <f>'Matriz de riesgo SD'!$I$2-N58</f>
        <v>44019</v>
      </c>
      <c r="J58" s="67" t="s">
        <v>41</v>
      </c>
      <c r="K58" s="29" t="s">
        <v>42</v>
      </c>
      <c r="L58" s="28"/>
      <c r="M58" s="29">
        <f>IF(Tareas[[#This Row],[Activo]]="sí",1,0)</f>
        <v>1</v>
      </c>
      <c r="N58" s="28">
        <v>15</v>
      </c>
      <c r="O58" s="32">
        <v>1</v>
      </c>
    </row>
    <row r="59" spans="1:15" x14ac:dyDescent="0.25">
      <c r="A59" s="33" t="s">
        <v>228</v>
      </c>
      <c r="B59" s="59">
        <f>IF(Tareas[[#This Row],[ID]]=1,100/SUM($M$59:$M$83),0)</f>
        <v>4.5454545454545459</v>
      </c>
      <c r="C59" s="35" t="s">
        <v>166</v>
      </c>
      <c r="D59" s="35" t="s">
        <v>203</v>
      </c>
      <c r="E59" s="59">
        <f t="shared" ca="1" si="0"/>
        <v>4.5454545454545459</v>
      </c>
      <c r="F59" s="192">
        <v>4.5</v>
      </c>
      <c r="G59" s="35"/>
      <c r="H59" s="36">
        <f>I59-O59</f>
        <v>43992</v>
      </c>
      <c r="I59" s="36">
        <f>'Matriz de riesgo SD'!$I$2-N59</f>
        <v>43994</v>
      </c>
      <c r="J59" s="67" t="s">
        <v>41</v>
      </c>
      <c r="K59" s="35" t="s">
        <v>42</v>
      </c>
      <c r="L59" s="37"/>
      <c r="M59" s="34">
        <f>IF(Tareas[[#This Row],[Activo]]="sí",1,0)</f>
        <v>1</v>
      </c>
      <c r="N59" s="35">
        <v>40</v>
      </c>
      <c r="O59" s="38">
        <v>2</v>
      </c>
    </row>
    <row r="60" spans="1:15" x14ac:dyDescent="0.25">
      <c r="A60" s="25" t="s">
        <v>229</v>
      </c>
      <c r="B60" s="56">
        <f>IF(Tareas[[#This Row],[ID]]=1,100/SUM($M$59:$M$83),0)</f>
        <v>4.5454545454545459</v>
      </c>
      <c r="C60" t="s">
        <v>166</v>
      </c>
      <c r="D60" t="s">
        <v>203</v>
      </c>
      <c r="E60" s="56">
        <f t="shared" ca="1" si="0"/>
        <v>4.5454545454545459</v>
      </c>
      <c r="F60" s="192">
        <v>4.5</v>
      </c>
      <c r="H60" s="2">
        <f t="shared" ref="H60:H83" si="3">I60-O60</f>
        <v>43998</v>
      </c>
      <c r="I60" s="2">
        <f>'Matriz de riesgo SD'!$I$2-N60</f>
        <v>43999</v>
      </c>
      <c r="J60" s="67" t="s">
        <v>41</v>
      </c>
      <c r="K60" t="s">
        <v>42</v>
      </c>
      <c r="M60" s="4">
        <f>IF(Tareas[[#This Row],[Activo]]="sí",1,0)</f>
        <v>1</v>
      </c>
      <c r="N60">
        <v>35</v>
      </c>
      <c r="O60" s="26">
        <v>1</v>
      </c>
    </row>
    <row r="61" spans="1:15" x14ac:dyDescent="0.25">
      <c r="A61" s="39" t="s">
        <v>230</v>
      </c>
      <c r="B61" s="53">
        <f>IF(Tareas[[#This Row],[ID]]=1,100/SUM($M$59:$M$83),0)</f>
        <v>4.5454545454545459</v>
      </c>
      <c r="C61" s="5" t="s">
        <v>166</v>
      </c>
      <c r="D61" s="5" t="s">
        <v>203</v>
      </c>
      <c r="E61" s="53">
        <f t="shared" ca="1" si="0"/>
        <v>4.5454545454545459</v>
      </c>
      <c r="F61" s="192">
        <v>4.5</v>
      </c>
      <c r="G61" s="5"/>
      <c r="H61" s="6">
        <f t="shared" si="3"/>
        <v>43998</v>
      </c>
      <c r="I61" s="6">
        <f>'Matriz de riesgo SD'!$I$2-N61</f>
        <v>43999</v>
      </c>
      <c r="J61" s="67" t="s">
        <v>41</v>
      </c>
      <c r="K61" s="5" t="s">
        <v>42</v>
      </c>
      <c r="L61" s="7"/>
      <c r="M61" s="8">
        <f>IF(Tareas[[#This Row],[Activo]]="sí",1,0)</f>
        <v>1</v>
      </c>
      <c r="N61" s="5">
        <v>35</v>
      </c>
      <c r="O61" s="40">
        <v>1</v>
      </c>
    </row>
    <row r="62" spans="1:15" x14ac:dyDescent="0.25">
      <c r="A62" s="25" t="s">
        <v>231</v>
      </c>
      <c r="B62" s="56">
        <f>IF(Tareas[[#This Row],[ID]]=1,100/SUM($M$59:$M$83),0)</f>
        <v>4.5454545454545459</v>
      </c>
      <c r="C62" t="s">
        <v>166</v>
      </c>
      <c r="D62" t="s">
        <v>203</v>
      </c>
      <c r="E62" s="56">
        <f t="shared" ca="1" si="0"/>
        <v>4.5454545454545459</v>
      </c>
      <c r="F62" s="192">
        <v>4.5</v>
      </c>
      <c r="H62" s="2">
        <f t="shared" si="3"/>
        <v>43998</v>
      </c>
      <c r="I62" s="2">
        <f>'Matriz de riesgo SD'!$I$2-N62</f>
        <v>43999</v>
      </c>
      <c r="J62" s="67" t="s">
        <v>41</v>
      </c>
      <c r="K62" t="s">
        <v>42</v>
      </c>
      <c r="M62" s="4">
        <f>IF(Tareas[[#This Row],[Activo]]="sí",1,0)</f>
        <v>1</v>
      </c>
      <c r="N62">
        <v>35</v>
      </c>
      <c r="O62" s="26">
        <v>1</v>
      </c>
    </row>
    <row r="63" spans="1:15" x14ac:dyDescent="0.25">
      <c r="A63" s="39" t="s">
        <v>232</v>
      </c>
      <c r="B63" s="53">
        <f>IF(Tareas[[#This Row],[ID]]=1,100/SUM($M$59:$M$83),0)</f>
        <v>4.5454545454545459</v>
      </c>
      <c r="C63" s="5" t="s">
        <v>166</v>
      </c>
      <c r="D63" s="5" t="s">
        <v>203</v>
      </c>
      <c r="E63" s="53">
        <f t="shared" ca="1" si="0"/>
        <v>4.5454545454545459</v>
      </c>
      <c r="F63" s="192">
        <v>4.5</v>
      </c>
      <c r="G63" s="5"/>
      <c r="H63" s="6">
        <f t="shared" si="3"/>
        <v>43998</v>
      </c>
      <c r="I63" s="6">
        <f>'Matriz de riesgo SD'!$I$2-N63</f>
        <v>43999</v>
      </c>
      <c r="J63" s="67" t="s">
        <v>41</v>
      </c>
      <c r="K63" s="5" t="s">
        <v>42</v>
      </c>
      <c r="L63" s="7"/>
      <c r="M63" s="8">
        <f>IF(Tareas[[#This Row],[Activo]]="sí",1,0)</f>
        <v>1</v>
      </c>
      <c r="N63" s="5">
        <v>35</v>
      </c>
      <c r="O63" s="40">
        <v>1</v>
      </c>
    </row>
    <row r="64" spans="1:15" x14ac:dyDescent="0.25">
      <c r="A64" s="25" t="s">
        <v>233</v>
      </c>
      <c r="B64" s="56">
        <f>IF(Tareas[[#This Row],[ID]]=1,100/SUM($M$59:$M$83),0)</f>
        <v>4.5454545454545459</v>
      </c>
      <c r="C64" t="s">
        <v>166</v>
      </c>
      <c r="D64" t="s">
        <v>203</v>
      </c>
      <c r="E64" s="56">
        <f t="shared" ca="1" si="0"/>
        <v>4.5454545454545459</v>
      </c>
      <c r="F64" s="192">
        <v>4.5</v>
      </c>
      <c r="H64" s="2">
        <f t="shared" si="3"/>
        <v>43998</v>
      </c>
      <c r="I64" s="2">
        <f>'Matriz de riesgo SD'!$I$2-N64</f>
        <v>43999</v>
      </c>
      <c r="J64" s="67" t="s">
        <v>41</v>
      </c>
      <c r="K64" t="s">
        <v>42</v>
      </c>
      <c r="M64" s="4">
        <f>IF(Tareas[[#This Row],[Activo]]="sí",1,0)</f>
        <v>1</v>
      </c>
      <c r="N64">
        <v>35</v>
      </c>
      <c r="O64" s="26">
        <v>1</v>
      </c>
    </row>
    <row r="65" spans="1:15" x14ac:dyDescent="0.25">
      <c r="A65" s="39" t="s">
        <v>234</v>
      </c>
      <c r="B65" s="53">
        <f>IF(Tareas[[#This Row],[ID]]=1,100/SUM($M$59:$M$83),0)</f>
        <v>4.5454545454545459</v>
      </c>
      <c r="C65" s="5" t="s">
        <v>139</v>
      </c>
      <c r="D65" s="5" t="s">
        <v>203</v>
      </c>
      <c r="E65" s="53">
        <f t="shared" ca="1" si="0"/>
        <v>4.5454545454545459</v>
      </c>
      <c r="F65" s="192">
        <v>4.5</v>
      </c>
      <c r="G65" s="5"/>
      <c r="H65" s="6">
        <f t="shared" si="3"/>
        <v>44003</v>
      </c>
      <c r="I65" s="6">
        <f>'Matriz de riesgo SD'!$I$2-N65</f>
        <v>44004</v>
      </c>
      <c r="J65" s="67" t="s">
        <v>41</v>
      </c>
      <c r="K65" s="5" t="s">
        <v>42</v>
      </c>
      <c r="L65" s="7"/>
      <c r="M65" s="8">
        <f>IF(Tareas[[#This Row],[Activo]]="sí",1,0)</f>
        <v>1</v>
      </c>
      <c r="N65" s="5">
        <v>30</v>
      </c>
      <c r="O65" s="40">
        <v>1</v>
      </c>
    </row>
    <row r="66" spans="1:15" x14ac:dyDescent="0.25">
      <c r="A66" s="25" t="s">
        <v>236</v>
      </c>
      <c r="B66" s="56">
        <f>IF(Tareas[[#This Row],[ID]]=1,100/SUM($M$59:$M$83),0)</f>
        <v>4.5454545454545459</v>
      </c>
      <c r="C66" t="s">
        <v>139</v>
      </c>
      <c r="D66" t="s">
        <v>203</v>
      </c>
      <c r="E66" s="56">
        <f t="shared" ref="E66:E128" ca="1" si="4">(IF(I66&lt;=TODAY(),1,0))*B66</f>
        <v>4.5454545454545459</v>
      </c>
      <c r="F66" s="192">
        <v>4.5</v>
      </c>
      <c r="H66" s="2">
        <f t="shared" si="3"/>
        <v>44003</v>
      </c>
      <c r="I66" s="2">
        <f>'Matriz de riesgo SD'!$I$2-N66</f>
        <v>44004</v>
      </c>
      <c r="J66" s="67" t="s">
        <v>41</v>
      </c>
      <c r="K66" t="s">
        <v>42</v>
      </c>
      <c r="M66" s="4">
        <f>IF(Tareas[[#This Row],[Activo]]="sí",1,0)</f>
        <v>1</v>
      </c>
      <c r="N66">
        <v>30</v>
      </c>
      <c r="O66" s="26">
        <v>1</v>
      </c>
    </row>
    <row r="67" spans="1:15" x14ac:dyDescent="0.25">
      <c r="A67" s="39" t="s">
        <v>235</v>
      </c>
      <c r="B67" s="53">
        <f>IF(Tareas[[#This Row],[ID]]=1,100/SUM($M$59:$M$83),0)</f>
        <v>4.5454545454545459</v>
      </c>
      <c r="C67" s="5" t="s">
        <v>64</v>
      </c>
      <c r="D67" s="5" t="s">
        <v>203</v>
      </c>
      <c r="E67" s="53">
        <f t="shared" ca="1" si="4"/>
        <v>4.5454545454545459</v>
      </c>
      <c r="F67" s="192">
        <v>4.5</v>
      </c>
      <c r="G67" s="5"/>
      <c r="H67" s="6">
        <f t="shared" si="3"/>
        <v>44003</v>
      </c>
      <c r="I67" s="6">
        <f>'Matriz de riesgo SD'!$I$2-N67</f>
        <v>44004</v>
      </c>
      <c r="J67" s="67" t="s">
        <v>41</v>
      </c>
      <c r="K67" s="5" t="s">
        <v>42</v>
      </c>
      <c r="L67" s="7"/>
      <c r="M67" s="8">
        <f>IF(Tareas[[#This Row],[Activo]]="sí",1,0)</f>
        <v>1</v>
      </c>
      <c r="N67" s="5">
        <v>30</v>
      </c>
      <c r="O67" s="40">
        <v>1</v>
      </c>
    </row>
    <row r="68" spans="1:15" x14ac:dyDescent="0.25">
      <c r="A68" s="25" t="s">
        <v>237</v>
      </c>
      <c r="B68" s="56">
        <f>IF(Tareas[[#This Row],[ID]]=1,100/SUM($M$59:$M$83),0)</f>
        <v>4.5454545454545459</v>
      </c>
      <c r="C68" t="s">
        <v>139</v>
      </c>
      <c r="D68" t="s">
        <v>203</v>
      </c>
      <c r="E68" s="56">
        <f t="shared" ca="1" si="4"/>
        <v>4.5454545454545459</v>
      </c>
      <c r="F68" s="192">
        <v>4.5</v>
      </c>
      <c r="H68" s="2">
        <f t="shared" si="3"/>
        <v>44003</v>
      </c>
      <c r="I68" s="2">
        <f>'Matriz de riesgo SD'!$I$2-N68</f>
        <v>44004</v>
      </c>
      <c r="J68" s="67" t="s">
        <v>41</v>
      </c>
      <c r="K68" t="s">
        <v>42</v>
      </c>
      <c r="M68" s="4">
        <f>IF(Tareas[[#This Row],[Activo]]="sí",1,0)</f>
        <v>1</v>
      </c>
      <c r="N68">
        <v>30</v>
      </c>
      <c r="O68" s="26">
        <v>1</v>
      </c>
    </row>
    <row r="69" spans="1:15" x14ac:dyDescent="0.25">
      <c r="A69" s="39" t="s">
        <v>238</v>
      </c>
      <c r="B69" s="53">
        <f>IF(Tareas[[#This Row],[ID]]=1,100/SUM($M$59:$M$83),0)</f>
        <v>4.5454545454545459</v>
      </c>
      <c r="C69" s="5" t="s">
        <v>139</v>
      </c>
      <c r="D69" s="5" t="s">
        <v>203</v>
      </c>
      <c r="E69" s="53">
        <f t="shared" ca="1" si="4"/>
        <v>4.5454545454545459</v>
      </c>
      <c r="F69" s="192">
        <v>4.5</v>
      </c>
      <c r="G69" s="5"/>
      <c r="H69" s="6">
        <f t="shared" si="3"/>
        <v>44004</v>
      </c>
      <c r="I69" s="6">
        <f>'Matriz de riesgo SD'!$I$2-N69</f>
        <v>44005</v>
      </c>
      <c r="J69" s="67" t="s">
        <v>41</v>
      </c>
      <c r="K69" s="5" t="s">
        <v>42</v>
      </c>
      <c r="L69" s="7"/>
      <c r="M69" s="8">
        <f>IF(Tareas[[#This Row],[Activo]]="sí",1,0)</f>
        <v>1</v>
      </c>
      <c r="N69" s="5">
        <v>29</v>
      </c>
      <c r="O69" s="40">
        <v>1</v>
      </c>
    </row>
    <row r="70" spans="1:15" x14ac:dyDescent="0.25">
      <c r="A70" s="25" t="s">
        <v>239</v>
      </c>
      <c r="B70" s="56">
        <f>IF(Tareas[[#This Row],[ID]]=1,100/SUM($M$59:$M$83),0)</f>
        <v>4.5454545454545459</v>
      </c>
      <c r="C70" t="s">
        <v>139</v>
      </c>
      <c r="D70" t="s">
        <v>203</v>
      </c>
      <c r="E70" s="56">
        <f t="shared" ca="1" si="4"/>
        <v>4.5454545454545459</v>
      </c>
      <c r="F70" s="192">
        <v>0</v>
      </c>
      <c r="H70" s="2">
        <f t="shared" si="3"/>
        <v>44008</v>
      </c>
      <c r="I70" s="2">
        <f>'Matriz de riesgo SD'!$I$2-N70</f>
        <v>44009</v>
      </c>
      <c r="J70" s="67" t="s">
        <v>41</v>
      </c>
      <c r="K70" t="s">
        <v>42</v>
      </c>
      <c r="M70" s="4">
        <f>IF(Tareas[[#This Row],[Activo]]="sí",1,0)</f>
        <v>1</v>
      </c>
      <c r="N70">
        <v>25</v>
      </c>
      <c r="O70" s="26">
        <v>1</v>
      </c>
    </row>
    <row r="71" spans="1:15" x14ac:dyDescent="0.25">
      <c r="A71" s="39" t="s">
        <v>240</v>
      </c>
      <c r="B71" s="53">
        <f>IF(Tareas[[#This Row],[ID]]=1,100/SUM($M$59:$M$83),0)</f>
        <v>4.5454545454545459</v>
      </c>
      <c r="C71" s="5" t="s">
        <v>139</v>
      </c>
      <c r="D71" s="5" t="s">
        <v>203</v>
      </c>
      <c r="E71" s="53">
        <f t="shared" ca="1" si="4"/>
        <v>4.5454545454545459</v>
      </c>
      <c r="F71" s="192">
        <v>4.5</v>
      </c>
      <c r="G71" s="5"/>
      <c r="H71" s="6">
        <f t="shared" si="3"/>
        <v>43978</v>
      </c>
      <c r="I71" s="6">
        <f>'Matriz de riesgo SD'!$I$2-N71</f>
        <v>44006</v>
      </c>
      <c r="J71" s="67" t="s">
        <v>41</v>
      </c>
      <c r="K71" s="5" t="s">
        <v>42</v>
      </c>
      <c r="L71" s="7"/>
      <c r="M71" s="8">
        <f>IF(Tareas[[#This Row],[Activo]]="sí",1,0)</f>
        <v>1</v>
      </c>
      <c r="N71" s="5">
        <v>28</v>
      </c>
      <c r="O71" s="40">
        <v>28</v>
      </c>
    </row>
    <row r="72" spans="1:15" hidden="1" x14ac:dyDescent="0.25">
      <c r="A72" s="25" t="s">
        <v>241</v>
      </c>
      <c r="B72" s="56">
        <f>IF(Tareas[[#This Row],[ID]]=1,100/SUM($M$59:$M$83),0)</f>
        <v>0</v>
      </c>
      <c r="C72" t="s">
        <v>139</v>
      </c>
      <c r="D72" t="s">
        <v>203</v>
      </c>
      <c r="E72" s="56">
        <f t="shared" ca="1" si="4"/>
        <v>0</v>
      </c>
      <c r="F72" s="192">
        <v>0</v>
      </c>
      <c r="H72" s="2">
        <f t="shared" si="3"/>
        <v>44009</v>
      </c>
      <c r="I72" s="2">
        <f>'Matriz de riesgo SD'!$I$2-N72</f>
        <v>44010</v>
      </c>
      <c r="J72" s="67" t="s">
        <v>50</v>
      </c>
      <c r="K72" t="s">
        <v>42</v>
      </c>
      <c r="M72" s="4">
        <f>IF(Tareas[[#This Row],[Activo]]="sí",1,0)</f>
        <v>0</v>
      </c>
      <c r="N72">
        <v>24</v>
      </c>
      <c r="O72" s="26">
        <v>1</v>
      </c>
    </row>
    <row r="73" spans="1:15" hidden="1" x14ac:dyDescent="0.25">
      <c r="A73" s="39" t="s">
        <v>242</v>
      </c>
      <c r="B73" s="53">
        <f>IF(Tareas[[#This Row],[ID]]=1,100/SUM($M$59:$M$83),0)</f>
        <v>0</v>
      </c>
      <c r="C73" s="5" t="s">
        <v>139</v>
      </c>
      <c r="D73" s="5" t="s">
        <v>203</v>
      </c>
      <c r="E73" s="53">
        <f t="shared" ca="1" si="4"/>
        <v>0</v>
      </c>
      <c r="F73" s="192">
        <v>0</v>
      </c>
      <c r="G73" s="5"/>
      <c r="H73" s="6">
        <f t="shared" si="3"/>
        <v>44018</v>
      </c>
      <c r="I73" s="6">
        <f>'Matriz de riesgo SD'!$I$2-N73</f>
        <v>44019</v>
      </c>
      <c r="J73" s="67" t="s">
        <v>50</v>
      </c>
      <c r="K73" s="5" t="s">
        <v>42</v>
      </c>
      <c r="L73" s="7"/>
      <c r="M73" s="8">
        <f>IF(Tareas[[#This Row],[Activo]]="sí",1,0)</f>
        <v>0</v>
      </c>
      <c r="N73" s="5">
        <v>15</v>
      </c>
      <c r="O73" s="40">
        <v>1</v>
      </c>
    </row>
    <row r="74" spans="1:15" hidden="1" x14ac:dyDescent="0.25">
      <c r="A74" s="25" t="s">
        <v>243</v>
      </c>
      <c r="B74" s="56">
        <f>IF(Tareas[[#This Row],[ID]]=1,100/SUM($M$59:$M$83),0)</f>
        <v>0</v>
      </c>
      <c r="C74" t="s">
        <v>139</v>
      </c>
      <c r="D74" t="s">
        <v>203</v>
      </c>
      <c r="E74" s="56">
        <f t="shared" ca="1" si="4"/>
        <v>0</v>
      </c>
      <c r="F74" s="192">
        <v>0</v>
      </c>
      <c r="H74" s="2">
        <f t="shared" si="3"/>
        <v>44003</v>
      </c>
      <c r="I74" s="2">
        <f>'Matriz de riesgo SD'!$I$2-N74</f>
        <v>44004</v>
      </c>
      <c r="J74" s="67" t="s">
        <v>50</v>
      </c>
      <c r="K74" t="s">
        <v>42</v>
      </c>
      <c r="M74" s="4">
        <f>IF(Tareas[[#This Row],[Activo]]="sí",1,0)</f>
        <v>0</v>
      </c>
      <c r="N74">
        <v>30</v>
      </c>
      <c r="O74" s="26">
        <v>1</v>
      </c>
    </row>
    <row r="75" spans="1:15" x14ac:dyDescent="0.25">
      <c r="A75" s="39" t="s">
        <v>244</v>
      </c>
      <c r="B75" s="53">
        <f>IF(Tareas[[#This Row],[ID]]=1,100/SUM($M$59:$M$83),0)</f>
        <v>4.5454545454545459</v>
      </c>
      <c r="C75" s="5" t="s">
        <v>139</v>
      </c>
      <c r="D75" s="5" t="s">
        <v>203</v>
      </c>
      <c r="E75" s="53">
        <f t="shared" ca="1" si="4"/>
        <v>4.5454545454545459</v>
      </c>
      <c r="F75" s="192">
        <v>0</v>
      </c>
      <c r="G75" s="5"/>
      <c r="H75" s="6">
        <f t="shared" si="3"/>
        <v>44018</v>
      </c>
      <c r="I75" s="6">
        <f>'Matriz de riesgo SD'!$I$2-N75</f>
        <v>44019</v>
      </c>
      <c r="J75" s="67" t="s">
        <v>41</v>
      </c>
      <c r="K75" s="5" t="s">
        <v>42</v>
      </c>
      <c r="L75" s="7"/>
      <c r="M75" s="8">
        <f>IF(Tareas[[#This Row],[Activo]]="sí",1,0)</f>
        <v>1</v>
      </c>
      <c r="N75" s="5">
        <v>15</v>
      </c>
      <c r="O75" s="40">
        <v>1</v>
      </c>
    </row>
    <row r="76" spans="1:15" x14ac:dyDescent="0.25">
      <c r="A76" s="25" t="s">
        <v>245</v>
      </c>
      <c r="B76" s="56">
        <f>IF(Tareas[[#This Row],[ID]]=1,100/SUM($M$59:$M$83),0)</f>
        <v>4.5454545454545459</v>
      </c>
      <c r="C76" t="s">
        <v>139</v>
      </c>
      <c r="D76" t="s">
        <v>203</v>
      </c>
      <c r="E76" s="56">
        <f t="shared" ca="1" si="4"/>
        <v>4.5454545454545459</v>
      </c>
      <c r="F76" s="192">
        <v>0</v>
      </c>
      <c r="H76" s="2">
        <f t="shared" si="3"/>
        <v>44015</v>
      </c>
      <c r="I76" s="2">
        <f>'Matriz de riesgo SD'!$I$2-N76</f>
        <v>44023</v>
      </c>
      <c r="J76" s="67" t="s">
        <v>41</v>
      </c>
      <c r="K76" t="s">
        <v>42</v>
      </c>
      <c r="M76" s="4">
        <f>IF(Tareas[[#This Row],[Activo]]="sí",1,0)</f>
        <v>1</v>
      </c>
      <c r="N76">
        <v>11</v>
      </c>
      <c r="O76" s="26">
        <v>8</v>
      </c>
    </row>
    <row r="77" spans="1:15" x14ac:dyDescent="0.25">
      <c r="A77" s="39" t="s">
        <v>246</v>
      </c>
      <c r="B77" s="53">
        <f>IF(Tareas[[#This Row],[ID]]=1,100/SUM($M$59:$M$83),0)</f>
        <v>4.5454545454545459</v>
      </c>
      <c r="C77" s="5" t="s">
        <v>166</v>
      </c>
      <c r="D77" s="5" t="s">
        <v>203</v>
      </c>
      <c r="E77" s="53">
        <f t="shared" ca="1" si="4"/>
        <v>4.5454545454545459</v>
      </c>
      <c r="F77" s="192">
        <v>0</v>
      </c>
      <c r="G77" s="5"/>
      <c r="H77" s="6">
        <f t="shared" si="3"/>
        <v>44024</v>
      </c>
      <c r="I77" s="6">
        <f>'Matriz de riesgo SD'!$I$2-N77</f>
        <v>44025</v>
      </c>
      <c r="J77" s="67" t="s">
        <v>41</v>
      </c>
      <c r="K77" s="5" t="s">
        <v>42</v>
      </c>
      <c r="L77" s="7"/>
      <c r="M77" s="8">
        <f>IF(Tareas[[#This Row],[Activo]]="sí",1,0)</f>
        <v>1</v>
      </c>
      <c r="N77" s="5">
        <v>9</v>
      </c>
      <c r="O77" s="40">
        <v>1</v>
      </c>
    </row>
    <row r="78" spans="1:15" x14ac:dyDescent="0.25">
      <c r="A78" s="25" t="s">
        <v>247</v>
      </c>
      <c r="B78" s="56">
        <f>IF(Tareas[[#This Row],[ID]]=1,100/SUM($M$59:$M$83),0)</f>
        <v>4.5454545454545459</v>
      </c>
      <c r="C78" t="s">
        <v>166</v>
      </c>
      <c r="D78" t="s">
        <v>203</v>
      </c>
      <c r="E78" s="56">
        <f t="shared" ca="1" si="4"/>
        <v>4.5454545454545459</v>
      </c>
      <c r="F78" s="192">
        <v>0</v>
      </c>
      <c r="H78" s="2">
        <f t="shared" si="3"/>
        <v>44024</v>
      </c>
      <c r="I78" s="2">
        <f>'Matriz de riesgo SD'!$I$2-N78</f>
        <v>44025</v>
      </c>
      <c r="J78" s="67" t="s">
        <v>41</v>
      </c>
      <c r="K78" t="s">
        <v>42</v>
      </c>
      <c r="M78" s="4">
        <f>IF(Tareas[[#This Row],[Activo]]="sí",1,0)</f>
        <v>1</v>
      </c>
      <c r="N78">
        <v>9</v>
      </c>
      <c r="O78" s="26">
        <v>1</v>
      </c>
    </row>
    <row r="79" spans="1:15" x14ac:dyDescent="0.25">
      <c r="A79" s="39" t="s">
        <v>248</v>
      </c>
      <c r="B79" s="53">
        <f>IF(Tareas[[#This Row],[ID]]=1,100/SUM($M$59:$M$83),0)</f>
        <v>4.5454545454545459</v>
      </c>
      <c r="C79" s="5" t="s">
        <v>166</v>
      </c>
      <c r="D79" s="5" t="s">
        <v>203</v>
      </c>
      <c r="E79" s="53">
        <f t="shared" ca="1" si="4"/>
        <v>4.5454545454545459</v>
      </c>
      <c r="F79" s="192">
        <v>0</v>
      </c>
      <c r="G79" s="5"/>
      <c r="H79" s="6">
        <f t="shared" si="3"/>
        <v>44024</v>
      </c>
      <c r="I79" s="6">
        <f>'Matriz de riesgo SD'!$I$2-N79</f>
        <v>44025</v>
      </c>
      <c r="J79" s="67" t="s">
        <v>41</v>
      </c>
      <c r="K79" s="5" t="s">
        <v>42</v>
      </c>
      <c r="L79" s="7"/>
      <c r="M79" s="8">
        <f>IF(Tareas[[#This Row],[Activo]]="sí",1,0)</f>
        <v>1</v>
      </c>
      <c r="N79" s="5">
        <v>9</v>
      </c>
      <c r="O79" s="40">
        <v>1</v>
      </c>
    </row>
    <row r="80" spans="1:15" x14ac:dyDescent="0.25">
      <c r="A80" s="25" t="s">
        <v>249</v>
      </c>
      <c r="B80" s="56">
        <f>IF(Tareas[[#This Row],[ID]]=1,100/SUM($M$59:$M$83),0)</f>
        <v>4.5454545454545459</v>
      </c>
      <c r="C80" t="s">
        <v>166</v>
      </c>
      <c r="D80" t="s">
        <v>203</v>
      </c>
      <c r="E80" s="56">
        <f t="shared" ca="1" si="4"/>
        <v>4.5454545454545459</v>
      </c>
      <c r="F80" s="192">
        <v>0</v>
      </c>
      <c r="H80" s="2">
        <f t="shared" si="3"/>
        <v>44024</v>
      </c>
      <c r="I80" s="2">
        <f>'Matriz de riesgo SD'!$I$2-N80</f>
        <v>44025</v>
      </c>
      <c r="J80" s="67" t="s">
        <v>41</v>
      </c>
      <c r="K80" t="s">
        <v>42</v>
      </c>
      <c r="M80" s="4">
        <f>IF(Tareas[[#This Row],[Activo]]="sí",1,0)</f>
        <v>1</v>
      </c>
      <c r="N80">
        <v>9</v>
      </c>
      <c r="O80" s="26">
        <v>1</v>
      </c>
    </row>
    <row r="81" spans="1:15" x14ac:dyDescent="0.25">
      <c r="A81" s="39" t="s">
        <v>250</v>
      </c>
      <c r="B81" s="53">
        <f>IF(Tareas[[#This Row],[ID]]=1,100/SUM($M$59:$M$83),0)</f>
        <v>4.5454545454545459</v>
      </c>
      <c r="C81" s="5" t="s">
        <v>139</v>
      </c>
      <c r="D81" s="5" t="s">
        <v>203</v>
      </c>
      <c r="E81" s="53">
        <f t="shared" ca="1" si="4"/>
        <v>4.5454545454545459</v>
      </c>
      <c r="F81" s="192">
        <v>0</v>
      </c>
      <c r="G81" s="5"/>
      <c r="H81" s="6">
        <f t="shared" si="3"/>
        <v>44028</v>
      </c>
      <c r="I81" s="6">
        <f>'Matriz de riesgo SD'!$I$2-N81</f>
        <v>44029</v>
      </c>
      <c r="J81" s="67" t="s">
        <v>41</v>
      </c>
      <c r="K81" s="5" t="s">
        <v>42</v>
      </c>
      <c r="L81" s="7"/>
      <c r="M81" s="8">
        <f>IF(Tareas[[#This Row],[Activo]]="sí",1,0)</f>
        <v>1</v>
      </c>
      <c r="N81" s="5">
        <v>5</v>
      </c>
      <c r="O81" s="40">
        <v>1</v>
      </c>
    </row>
    <row r="82" spans="1:15" x14ac:dyDescent="0.25">
      <c r="A82" s="25" t="s">
        <v>251</v>
      </c>
      <c r="B82" s="56">
        <f>IF(Tareas[[#This Row],[ID]]=1,100/SUM($M$59:$M$83),0)</f>
        <v>4.5454545454545459</v>
      </c>
      <c r="C82" t="s">
        <v>139</v>
      </c>
      <c r="D82" t="s">
        <v>203</v>
      </c>
      <c r="E82" s="56">
        <f t="shared" ca="1" si="4"/>
        <v>4.5454545454545459</v>
      </c>
      <c r="F82" s="192">
        <v>0</v>
      </c>
      <c r="H82" s="2">
        <f t="shared" si="3"/>
        <v>44023</v>
      </c>
      <c r="I82" s="2">
        <f>'Matriz de riesgo SD'!$I$2-N82</f>
        <v>44024</v>
      </c>
      <c r="J82" s="67" t="s">
        <v>41</v>
      </c>
      <c r="K82" t="s">
        <v>42</v>
      </c>
      <c r="M82" s="4">
        <f>IF(Tareas[[#This Row],[Activo]]="sí",1,0)</f>
        <v>1</v>
      </c>
      <c r="N82">
        <v>10</v>
      </c>
      <c r="O82" s="26">
        <v>1</v>
      </c>
    </row>
    <row r="83" spans="1:15" ht="15.75" thickBot="1" x14ac:dyDescent="0.3">
      <c r="A83" s="47" t="s">
        <v>252</v>
      </c>
      <c r="B83" s="61">
        <f>IF(Tareas[[#This Row],[ID]]=1,100/SUM($M$59:$M$83),0)</f>
        <v>4.5454545454545459</v>
      </c>
      <c r="C83" s="49" t="s">
        <v>139</v>
      </c>
      <c r="D83" s="49" t="s">
        <v>203</v>
      </c>
      <c r="E83" s="61">
        <f t="shared" ca="1" si="4"/>
        <v>4.5454545454545459</v>
      </c>
      <c r="F83" s="192">
        <v>0</v>
      </c>
      <c r="G83" s="49"/>
      <c r="H83" s="50">
        <f t="shared" si="3"/>
        <v>44028</v>
      </c>
      <c r="I83" s="50">
        <f>'Matriz de riesgo SD'!$I$2-N83</f>
        <v>44029</v>
      </c>
      <c r="J83" s="67" t="s">
        <v>41</v>
      </c>
      <c r="K83" s="49" t="s">
        <v>42</v>
      </c>
      <c r="L83" s="51"/>
      <c r="M83" s="48">
        <f>IF(Tareas[[#This Row],[Activo]]="sí",1,0)</f>
        <v>1</v>
      </c>
      <c r="N83" s="49">
        <v>5</v>
      </c>
      <c r="O83" s="52">
        <v>1</v>
      </c>
    </row>
    <row r="84" spans="1:15" x14ac:dyDescent="0.25">
      <c r="A84" s="16" t="s">
        <v>254</v>
      </c>
      <c r="B84" s="54">
        <f>IF(Tareas[[#This Row],[ID]]=1,100/SUM($M$84:$M$88),0)</f>
        <v>25</v>
      </c>
      <c r="C84" s="18" t="s">
        <v>139</v>
      </c>
      <c r="D84" s="17" t="s">
        <v>204</v>
      </c>
      <c r="E84" s="54">
        <f t="shared" ca="1" si="4"/>
        <v>25</v>
      </c>
      <c r="F84" s="192">
        <v>25</v>
      </c>
      <c r="G84" s="18"/>
      <c r="H84" s="20">
        <f>I84-O84</f>
        <v>44003</v>
      </c>
      <c r="I84" s="20">
        <f>'Matriz de riesgo SD'!$I$2-N84</f>
        <v>44004</v>
      </c>
      <c r="J84" s="67" t="s">
        <v>41</v>
      </c>
      <c r="K84" s="18" t="s">
        <v>42</v>
      </c>
      <c r="L84" s="17"/>
      <c r="M84" s="18">
        <f>IF(Tareas[[#This Row],[Activo]]="sí",1,0)</f>
        <v>1</v>
      </c>
      <c r="N84" s="17">
        <v>30</v>
      </c>
      <c r="O84" s="22">
        <v>1</v>
      </c>
    </row>
    <row r="85" spans="1:15" x14ac:dyDescent="0.25">
      <c r="A85" s="23" t="s">
        <v>253</v>
      </c>
      <c r="B85" s="55">
        <f>IF(Tareas[[#This Row],[ID]]=1,100/SUM($M$84:$M$88),0)</f>
        <v>25</v>
      </c>
      <c r="C85" s="12" t="s">
        <v>139</v>
      </c>
      <c r="D85" s="12" t="s">
        <v>204</v>
      </c>
      <c r="E85" s="55">
        <f t="shared" ca="1" si="4"/>
        <v>25</v>
      </c>
      <c r="F85" s="192">
        <v>25</v>
      </c>
      <c r="G85" s="12"/>
      <c r="H85" s="13">
        <f t="shared" ref="H85:H102" si="5">I85-O85</f>
        <v>44005</v>
      </c>
      <c r="I85" s="13">
        <f>'Matriz de riesgo SD'!$I$2-N85</f>
        <v>44006</v>
      </c>
      <c r="J85" s="67" t="s">
        <v>41</v>
      </c>
      <c r="K85" s="12" t="s">
        <v>42</v>
      </c>
      <c r="L85" s="14"/>
      <c r="M85" s="15">
        <f>IF(Tareas[[#This Row],[Activo]]="sí",1,0)</f>
        <v>1</v>
      </c>
      <c r="N85" s="12">
        <v>28</v>
      </c>
      <c r="O85" s="24">
        <v>1</v>
      </c>
    </row>
    <row r="86" spans="1:15" x14ac:dyDescent="0.25">
      <c r="A86" s="25" t="s">
        <v>255</v>
      </c>
      <c r="B86" s="56">
        <f>IF(Tareas[[#This Row],[ID]]=1,100/SUM($M$84:$M$88),0)</f>
        <v>25</v>
      </c>
      <c r="C86" t="s">
        <v>139</v>
      </c>
      <c r="D86" s="4" t="s">
        <v>204</v>
      </c>
      <c r="E86" s="56">
        <f t="shared" ca="1" si="4"/>
        <v>25</v>
      </c>
      <c r="F86" s="192">
        <v>25</v>
      </c>
      <c r="H86" s="2">
        <f t="shared" si="5"/>
        <v>44005</v>
      </c>
      <c r="I86" s="2">
        <f>'Matriz de riesgo SD'!$I$2-N86</f>
        <v>44006</v>
      </c>
      <c r="J86" s="67" t="s">
        <v>41</v>
      </c>
      <c r="K86" t="s">
        <v>42</v>
      </c>
      <c r="L86" s="4"/>
      <c r="M86">
        <f>IF(Tareas[[#This Row],[Activo]]="sí",1,0)</f>
        <v>1</v>
      </c>
      <c r="N86" s="4">
        <v>28</v>
      </c>
      <c r="O86" s="26">
        <v>1</v>
      </c>
    </row>
    <row r="87" spans="1:15" ht="15.75" thickBot="1" x14ac:dyDescent="0.3">
      <c r="A87" s="23" t="s">
        <v>256</v>
      </c>
      <c r="B87" s="55">
        <f>IF(Tareas[[#This Row],[ID]]=1,100/SUM($M$84:$M$88),0)</f>
        <v>25</v>
      </c>
      <c r="C87" s="12" t="s">
        <v>139</v>
      </c>
      <c r="D87" s="12" t="s">
        <v>204</v>
      </c>
      <c r="E87" s="55">
        <f t="shared" ca="1" si="4"/>
        <v>25</v>
      </c>
      <c r="F87" s="192">
        <v>0</v>
      </c>
      <c r="G87" s="12"/>
      <c r="H87" s="13">
        <f t="shared" si="5"/>
        <v>44018</v>
      </c>
      <c r="I87" s="13">
        <f>'Matriz de riesgo SD'!$I$2-N87</f>
        <v>44019</v>
      </c>
      <c r="J87" s="67" t="s">
        <v>41</v>
      </c>
      <c r="K87" s="12" t="s">
        <v>42</v>
      </c>
      <c r="L87" s="14"/>
      <c r="M87" s="15">
        <f>IF(Tareas[[#This Row],[Activo]]="sí",1,0)</f>
        <v>1</v>
      </c>
      <c r="N87" s="12">
        <v>15</v>
      </c>
      <c r="O87" s="24">
        <v>1</v>
      </c>
    </row>
    <row r="88" spans="1:15" ht="15.75" hidden="1" thickBot="1" x14ac:dyDescent="0.3">
      <c r="A88" s="27" t="s">
        <v>257</v>
      </c>
      <c r="B88" s="57">
        <f>IF(Tareas[[#This Row],[ID]]=1,100/SUM($M$84:$M$88),0)</f>
        <v>0</v>
      </c>
      <c r="C88" s="29" t="s">
        <v>139</v>
      </c>
      <c r="D88" s="28" t="s">
        <v>204</v>
      </c>
      <c r="E88" s="57">
        <f t="shared" ca="1" si="4"/>
        <v>0</v>
      </c>
      <c r="F88" s="192">
        <v>0</v>
      </c>
      <c r="G88" s="29"/>
      <c r="H88" s="31">
        <f t="shared" si="5"/>
        <v>44022</v>
      </c>
      <c r="I88" s="31">
        <f>'Matriz de riesgo SD'!$I$2-N88</f>
        <v>44023</v>
      </c>
      <c r="J88" s="67" t="s">
        <v>50</v>
      </c>
      <c r="K88" s="29" t="s">
        <v>42</v>
      </c>
      <c r="L88" s="28"/>
      <c r="M88" s="29">
        <f>IF(Tareas[[#This Row],[Activo]]="sí",1,0)</f>
        <v>0</v>
      </c>
      <c r="N88" s="28">
        <v>11</v>
      </c>
      <c r="O88" s="32">
        <v>1</v>
      </c>
    </row>
    <row r="89" spans="1:15" x14ac:dyDescent="0.25">
      <c r="A89" s="33" t="s">
        <v>258</v>
      </c>
      <c r="B89" s="59">
        <f>IF(Tareas[[#This Row],[ID]]=1,100/SUM($M$89:$M$99),0)</f>
        <v>11.111111111111111</v>
      </c>
      <c r="C89" s="35" t="s">
        <v>139</v>
      </c>
      <c r="D89" s="35" t="s">
        <v>205</v>
      </c>
      <c r="E89" s="59">
        <f t="shared" ca="1" si="4"/>
        <v>11.111111111111111</v>
      </c>
      <c r="F89" s="192">
        <v>0</v>
      </c>
      <c r="G89" s="35"/>
      <c r="H89" s="36">
        <f t="shared" si="5"/>
        <v>44018</v>
      </c>
      <c r="I89" s="36">
        <f>'Matriz de riesgo SD'!$I$2-N89</f>
        <v>44019</v>
      </c>
      <c r="J89" s="67" t="s">
        <v>41</v>
      </c>
      <c r="K89" s="35" t="s">
        <v>42</v>
      </c>
      <c r="L89" s="37"/>
      <c r="M89" s="34">
        <f>IF(Tareas[[#This Row],[Activo]]="sí",1,0)</f>
        <v>1</v>
      </c>
      <c r="N89" s="35">
        <v>15</v>
      </c>
      <c r="O89" s="38">
        <v>1</v>
      </c>
    </row>
    <row r="90" spans="1:15" x14ac:dyDescent="0.25">
      <c r="A90" s="25" t="s">
        <v>259</v>
      </c>
      <c r="B90" s="56">
        <f>IF(Tareas[[#This Row],[ID]]=1,100/SUM($M$89:$M$99),0)</f>
        <v>11.111111111111111</v>
      </c>
      <c r="C90" t="s">
        <v>139</v>
      </c>
      <c r="D90" t="s">
        <v>205</v>
      </c>
      <c r="E90" s="56">
        <f t="shared" ca="1" si="4"/>
        <v>11.111111111111111</v>
      </c>
      <c r="F90" s="192">
        <v>0</v>
      </c>
      <c r="H90" s="2">
        <f t="shared" si="5"/>
        <v>44013</v>
      </c>
      <c r="I90" s="2">
        <f>'Matriz de riesgo SD'!$I$2-N90</f>
        <v>44014</v>
      </c>
      <c r="J90" s="67" t="s">
        <v>41</v>
      </c>
      <c r="K90" t="s">
        <v>42</v>
      </c>
      <c r="M90" s="4">
        <f>IF(Tareas[[#This Row],[Activo]]="sí",1,0)</f>
        <v>1</v>
      </c>
      <c r="N90">
        <v>20</v>
      </c>
      <c r="O90" s="26">
        <v>1</v>
      </c>
    </row>
    <row r="91" spans="1:15" x14ac:dyDescent="0.25">
      <c r="A91" s="39" t="s">
        <v>260</v>
      </c>
      <c r="B91" s="53">
        <f>IF(Tareas[[#This Row],[ID]]=1,100/SUM($M$89:$M$99),0)</f>
        <v>11.111111111111111</v>
      </c>
      <c r="C91" s="5" t="s">
        <v>139</v>
      </c>
      <c r="D91" s="5" t="s">
        <v>205</v>
      </c>
      <c r="E91" s="53">
        <f t="shared" ca="1" si="4"/>
        <v>11.111111111111111</v>
      </c>
      <c r="F91" s="192">
        <v>0</v>
      </c>
      <c r="G91" s="5"/>
      <c r="H91" s="6">
        <f t="shared" si="5"/>
        <v>44013</v>
      </c>
      <c r="I91" s="6">
        <f>'Matriz de riesgo SD'!$I$2-N91</f>
        <v>44014</v>
      </c>
      <c r="J91" s="67" t="s">
        <v>41</v>
      </c>
      <c r="K91" s="5" t="s">
        <v>42</v>
      </c>
      <c r="L91" s="7"/>
      <c r="M91" s="8">
        <f>IF(Tareas[[#This Row],[Activo]]="sí",1,0)</f>
        <v>1</v>
      </c>
      <c r="N91" s="5">
        <v>20</v>
      </c>
      <c r="O91" s="40">
        <v>1</v>
      </c>
    </row>
    <row r="92" spans="1:15" x14ac:dyDescent="0.25">
      <c r="A92" s="25" t="s">
        <v>261</v>
      </c>
      <c r="B92" s="56">
        <f>IF(Tareas[[#This Row],[ID]]=1,100/SUM($M$89:$M$99),0)</f>
        <v>11.111111111111111</v>
      </c>
      <c r="C92" t="s">
        <v>139</v>
      </c>
      <c r="D92" t="s">
        <v>205</v>
      </c>
      <c r="E92" s="56">
        <f t="shared" ca="1" si="4"/>
        <v>11.111111111111111</v>
      </c>
      <c r="F92" s="192">
        <v>0</v>
      </c>
      <c r="H92" s="2">
        <f t="shared" si="5"/>
        <v>44003</v>
      </c>
      <c r="I92" s="2">
        <f>'Matriz de riesgo SD'!$I$2-N92</f>
        <v>44004</v>
      </c>
      <c r="J92" s="67" t="s">
        <v>41</v>
      </c>
      <c r="K92" t="s">
        <v>42</v>
      </c>
      <c r="M92" s="4">
        <f>IF(Tareas[[#This Row],[Activo]]="sí",1,0)</f>
        <v>1</v>
      </c>
      <c r="N92">
        <v>30</v>
      </c>
      <c r="O92" s="26">
        <v>1</v>
      </c>
    </row>
    <row r="93" spans="1:15" x14ac:dyDescent="0.25">
      <c r="A93" s="39" t="s">
        <v>262</v>
      </c>
      <c r="B93" s="53">
        <f>IF(Tareas[[#This Row],[ID]]=1,100/SUM($M$89:$M$99),0)</f>
        <v>0</v>
      </c>
      <c r="C93" s="5" t="s">
        <v>139</v>
      </c>
      <c r="D93" s="5" t="s">
        <v>205</v>
      </c>
      <c r="E93" s="53">
        <f t="shared" ca="1" si="4"/>
        <v>0</v>
      </c>
      <c r="F93" s="192">
        <v>10</v>
      </c>
      <c r="G93" s="5"/>
      <c r="H93" s="6">
        <f t="shared" si="5"/>
        <v>44003</v>
      </c>
      <c r="I93" s="6">
        <f>'Matriz de riesgo SD'!$I$2-N93</f>
        <v>44004</v>
      </c>
      <c r="J93" s="67" t="s">
        <v>50</v>
      </c>
      <c r="K93" s="5" t="s">
        <v>42</v>
      </c>
      <c r="L93" s="7"/>
      <c r="M93" s="8">
        <f>IF(Tareas[[#This Row],[Activo]]="sí",1,0)</f>
        <v>0</v>
      </c>
      <c r="N93" s="5">
        <v>30</v>
      </c>
      <c r="O93" s="40">
        <v>1</v>
      </c>
    </row>
    <row r="94" spans="1:15" x14ac:dyDescent="0.25">
      <c r="A94" s="25" t="s">
        <v>263</v>
      </c>
      <c r="B94" s="56">
        <f>IF(Tareas[[#This Row],[ID]]=1,100/SUM($M$89:$M$99),0)</f>
        <v>11.111111111111111</v>
      </c>
      <c r="C94" t="s">
        <v>139</v>
      </c>
      <c r="D94" t="s">
        <v>205</v>
      </c>
      <c r="E94" s="56">
        <f t="shared" ca="1" si="4"/>
        <v>11.111111111111111</v>
      </c>
      <c r="F94" s="192">
        <v>0</v>
      </c>
      <c r="H94" s="2">
        <f t="shared" si="5"/>
        <v>44018</v>
      </c>
      <c r="I94" s="2">
        <f>'Matriz de riesgo SD'!$I$2-N94</f>
        <v>44019</v>
      </c>
      <c r="J94" s="67" t="s">
        <v>41</v>
      </c>
      <c r="K94" t="s">
        <v>42</v>
      </c>
      <c r="M94" s="4">
        <f>IF(Tareas[[#This Row],[Activo]]="sí",1,0)</f>
        <v>1</v>
      </c>
      <c r="N94">
        <v>15</v>
      </c>
      <c r="O94" s="26">
        <v>1</v>
      </c>
    </row>
    <row r="95" spans="1:15" hidden="1" x14ac:dyDescent="0.25">
      <c r="A95" s="39" t="s">
        <v>264</v>
      </c>
      <c r="B95" s="53">
        <f>IF(Tareas[[#This Row],[ID]]=1,100/SUM($M$89:$M$99),0)</f>
        <v>0</v>
      </c>
      <c r="C95" s="5" t="s">
        <v>139</v>
      </c>
      <c r="D95" s="5" t="s">
        <v>205</v>
      </c>
      <c r="E95" s="53">
        <f t="shared" ca="1" si="4"/>
        <v>0</v>
      </c>
      <c r="F95" s="192">
        <v>0</v>
      </c>
      <c r="G95" s="5"/>
      <c r="H95" s="6">
        <f t="shared" si="5"/>
        <v>44018</v>
      </c>
      <c r="I95" s="6">
        <f>'Matriz de riesgo SD'!$I$2-N95</f>
        <v>44019</v>
      </c>
      <c r="J95" s="67" t="s">
        <v>50</v>
      </c>
      <c r="K95" s="5" t="s">
        <v>42</v>
      </c>
      <c r="L95" s="7"/>
      <c r="M95" s="8">
        <f>IF(Tareas[[#This Row],[Activo]]="sí",1,0)</f>
        <v>0</v>
      </c>
      <c r="N95" s="5">
        <v>15</v>
      </c>
      <c r="O95" s="40">
        <v>1</v>
      </c>
    </row>
    <row r="96" spans="1:15" x14ac:dyDescent="0.25">
      <c r="A96" s="25" t="s">
        <v>265</v>
      </c>
      <c r="B96" s="56">
        <f>IF(Tareas[[#This Row],[ID]]=1,100/SUM($M$89:$M$99),0)</f>
        <v>11.111111111111111</v>
      </c>
      <c r="C96" t="s">
        <v>139</v>
      </c>
      <c r="D96" t="s">
        <v>205</v>
      </c>
      <c r="E96" s="56">
        <f t="shared" ca="1" si="4"/>
        <v>11.111111111111111</v>
      </c>
      <c r="F96" s="192">
        <v>0</v>
      </c>
      <c r="H96" s="2">
        <f t="shared" si="5"/>
        <v>44008</v>
      </c>
      <c r="I96" s="2">
        <f>'Matriz de riesgo SD'!$I$2-N96</f>
        <v>44009</v>
      </c>
      <c r="J96" s="67" t="s">
        <v>41</v>
      </c>
      <c r="K96" t="s">
        <v>42</v>
      </c>
      <c r="M96" s="4">
        <f>IF(Tareas[[#This Row],[Activo]]="sí",1,0)</f>
        <v>1</v>
      </c>
      <c r="N96">
        <v>25</v>
      </c>
      <c r="O96" s="26">
        <v>1</v>
      </c>
    </row>
    <row r="97" spans="1:15" x14ac:dyDescent="0.25">
      <c r="A97" s="39" t="s">
        <v>266</v>
      </c>
      <c r="B97" s="53">
        <f>IF(Tareas[[#This Row],[ID]]=1,100/SUM($M$89:$M$99),0)</f>
        <v>11.111111111111111</v>
      </c>
      <c r="C97" s="5" t="s">
        <v>139</v>
      </c>
      <c r="D97" s="5" t="s">
        <v>205</v>
      </c>
      <c r="E97" s="53">
        <f t="shared" ca="1" si="4"/>
        <v>11.111111111111111</v>
      </c>
      <c r="F97" s="192">
        <v>0</v>
      </c>
      <c r="G97" s="5"/>
      <c r="H97" s="6">
        <f t="shared" si="5"/>
        <v>44028</v>
      </c>
      <c r="I97" s="6">
        <f>'Matriz de riesgo SD'!$I$2-N97</f>
        <v>44029</v>
      </c>
      <c r="J97" s="67" t="s">
        <v>41</v>
      </c>
      <c r="K97" s="5" t="s">
        <v>42</v>
      </c>
      <c r="L97" s="7"/>
      <c r="M97" s="8">
        <f>IF(Tareas[[#This Row],[Activo]]="sí",1,0)</f>
        <v>1</v>
      </c>
      <c r="N97" s="5">
        <v>5</v>
      </c>
      <c r="O97" s="40">
        <v>1</v>
      </c>
    </row>
    <row r="98" spans="1:15" x14ac:dyDescent="0.25">
      <c r="A98" s="25" t="s">
        <v>267</v>
      </c>
      <c r="B98" s="56">
        <f>IF(Tareas[[#This Row],[ID]]=1,100/SUM($M$89:$M$99),0)</f>
        <v>11.111111111111111</v>
      </c>
      <c r="C98" t="s">
        <v>139</v>
      </c>
      <c r="D98" t="s">
        <v>205</v>
      </c>
      <c r="E98" s="56">
        <f t="shared" ca="1" si="4"/>
        <v>11.111111111111111</v>
      </c>
      <c r="F98" s="192">
        <v>0</v>
      </c>
      <c r="H98" s="2">
        <f t="shared" si="5"/>
        <v>44030</v>
      </c>
      <c r="I98" s="2">
        <f>'Matriz de riesgo SD'!$I$2-N98</f>
        <v>44031</v>
      </c>
      <c r="J98" s="67" t="s">
        <v>41</v>
      </c>
      <c r="K98" t="s">
        <v>42</v>
      </c>
      <c r="M98" s="4">
        <f>IF(Tareas[[#This Row],[Activo]]="sí",1,0)</f>
        <v>1</v>
      </c>
      <c r="N98">
        <v>3</v>
      </c>
      <c r="O98" s="26">
        <v>1</v>
      </c>
    </row>
    <row r="99" spans="1:15" ht="15.75" thickBot="1" x14ac:dyDescent="0.3">
      <c r="A99" s="47" t="s">
        <v>91</v>
      </c>
      <c r="B99" s="61">
        <f>IF(Tareas[[#This Row],[ID]]=1,100/SUM($M$89:$M$99),0)</f>
        <v>11.111111111111111</v>
      </c>
      <c r="C99" s="49" t="s">
        <v>139</v>
      </c>
      <c r="D99" s="49" t="s">
        <v>205</v>
      </c>
      <c r="E99" s="61">
        <f t="shared" ca="1" si="4"/>
        <v>11.111111111111111</v>
      </c>
      <c r="F99" s="192">
        <v>0</v>
      </c>
      <c r="G99" s="49"/>
      <c r="H99" s="50">
        <f t="shared" si="5"/>
        <v>44028</v>
      </c>
      <c r="I99" s="50">
        <f>'Matriz de riesgo SD'!$I$2-N99</f>
        <v>44029</v>
      </c>
      <c r="J99" s="67" t="s">
        <v>41</v>
      </c>
      <c r="K99" s="49" t="s">
        <v>42</v>
      </c>
      <c r="L99" s="51"/>
      <c r="M99" s="48">
        <f>IF(Tareas[[#This Row],[Activo]]="sí",1,0)</f>
        <v>1</v>
      </c>
      <c r="N99" s="49">
        <v>5</v>
      </c>
      <c r="O99" s="52">
        <v>1</v>
      </c>
    </row>
    <row r="100" spans="1:15" x14ac:dyDescent="0.25">
      <c r="A100" s="16" t="s">
        <v>268</v>
      </c>
      <c r="B100" s="54">
        <f>IF(Tareas[[#This Row],[ID]]=1,100/SUM($M$100:$M$107),0)</f>
        <v>25</v>
      </c>
      <c r="C100" s="18" t="s">
        <v>166</v>
      </c>
      <c r="D100" s="17" t="s">
        <v>93</v>
      </c>
      <c r="E100" s="54">
        <f t="shared" ca="1" si="4"/>
        <v>25</v>
      </c>
      <c r="F100" s="192">
        <v>0</v>
      </c>
      <c r="G100" s="18"/>
      <c r="H100" s="20">
        <f t="shared" si="5"/>
        <v>44022</v>
      </c>
      <c r="I100" s="20">
        <f>'Matriz de riesgo SD'!$I$2-N100</f>
        <v>44023</v>
      </c>
      <c r="J100" s="67" t="s">
        <v>41</v>
      </c>
      <c r="K100" s="18" t="s">
        <v>42</v>
      </c>
      <c r="L100" s="17"/>
      <c r="M100" s="18">
        <f>IF(Tareas[[#This Row],[Activo]]="sí",1,0)</f>
        <v>1</v>
      </c>
      <c r="N100" s="17">
        <v>11</v>
      </c>
      <c r="O100" s="22">
        <v>1</v>
      </c>
    </row>
    <row r="101" spans="1:15" x14ac:dyDescent="0.25">
      <c r="A101" s="23" t="s">
        <v>94</v>
      </c>
      <c r="B101" s="55">
        <f>IF(Tareas[[#This Row],[ID]]=1,100/SUM($M$100:$M$107),0)</f>
        <v>25</v>
      </c>
      <c r="C101" s="12" t="s">
        <v>166</v>
      </c>
      <c r="D101" s="12" t="s">
        <v>93</v>
      </c>
      <c r="E101" s="55">
        <f t="shared" ca="1" si="4"/>
        <v>25</v>
      </c>
      <c r="F101" s="192">
        <v>0</v>
      </c>
      <c r="G101" s="12"/>
      <c r="H101" s="13">
        <f t="shared" si="5"/>
        <v>44022</v>
      </c>
      <c r="I101" s="13">
        <f>'Matriz de riesgo SD'!$I$2-N101</f>
        <v>44023</v>
      </c>
      <c r="J101" s="67" t="s">
        <v>41</v>
      </c>
      <c r="K101" s="12" t="s">
        <v>42</v>
      </c>
      <c r="L101" s="14"/>
      <c r="M101" s="15">
        <f>IF(Tareas[[#This Row],[Activo]]="sí",1,0)</f>
        <v>1</v>
      </c>
      <c r="N101" s="12">
        <v>11</v>
      </c>
      <c r="O101" s="24">
        <v>1</v>
      </c>
    </row>
    <row r="102" spans="1:15" x14ac:dyDescent="0.25">
      <c r="A102" s="25" t="s">
        <v>269</v>
      </c>
      <c r="B102" s="56">
        <f>IF(Tareas[[#This Row],[ID]]=1,100/SUM($M$100:$M$107),0)</f>
        <v>25</v>
      </c>
      <c r="C102" t="s">
        <v>166</v>
      </c>
      <c r="D102" s="4" t="s">
        <v>93</v>
      </c>
      <c r="E102" s="56">
        <f t="shared" ca="1" si="4"/>
        <v>25</v>
      </c>
      <c r="F102" s="192">
        <v>0</v>
      </c>
      <c r="H102" s="2">
        <f t="shared" si="5"/>
        <v>44022</v>
      </c>
      <c r="I102" s="2">
        <f>'Matriz de riesgo SD'!$I$2-N102</f>
        <v>44023</v>
      </c>
      <c r="J102" s="67" t="s">
        <v>41</v>
      </c>
      <c r="K102" t="s">
        <v>42</v>
      </c>
      <c r="L102" s="4"/>
      <c r="M102">
        <f>IF(Tareas[[#This Row],[Activo]]="sí",1,0)</f>
        <v>1</v>
      </c>
      <c r="N102" s="4">
        <v>11</v>
      </c>
      <c r="O102" s="26">
        <v>1</v>
      </c>
    </row>
    <row r="103" spans="1:15" ht="15.75" thickBot="1" x14ac:dyDescent="0.3">
      <c r="A103" s="23" t="s">
        <v>95</v>
      </c>
      <c r="B103" s="55">
        <f>IF(Tareas[[#This Row],[ID]]=1,100/SUM($M$100:$M$107),0)</f>
        <v>25</v>
      </c>
      <c r="C103" s="12" t="s">
        <v>166</v>
      </c>
      <c r="D103" s="12" t="s">
        <v>93</v>
      </c>
      <c r="E103" s="55">
        <f t="shared" ca="1" si="4"/>
        <v>25</v>
      </c>
      <c r="F103" s="192">
        <v>0</v>
      </c>
      <c r="G103" s="12"/>
      <c r="H103" s="13">
        <f>I103-O103</f>
        <v>44022</v>
      </c>
      <c r="I103" s="13">
        <f>'Matriz de riesgo SD'!$I$2-N103</f>
        <v>44023</v>
      </c>
      <c r="J103" s="67" t="s">
        <v>41</v>
      </c>
      <c r="K103" s="12" t="s">
        <v>42</v>
      </c>
      <c r="L103" s="14"/>
      <c r="M103" s="15">
        <f>IF(Tareas[[#This Row],[Activo]]="sí",1,0)</f>
        <v>1</v>
      </c>
      <c r="N103" s="12">
        <v>11</v>
      </c>
      <c r="O103" s="24">
        <v>1</v>
      </c>
    </row>
    <row r="104" spans="1:15" ht="15.75" hidden="1" thickBot="1" x14ac:dyDescent="0.3">
      <c r="A104" s="25" t="s">
        <v>96</v>
      </c>
      <c r="B104" s="56">
        <f>IF(Tareas[[#This Row],[ID]]=1,100/SUM($M$100:$M$107),0)</f>
        <v>0</v>
      </c>
      <c r="C104" t="s">
        <v>166</v>
      </c>
      <c r="D104" s="4" t="s">
        <v>93</v>
      </c>
      <c r="E104" s="56">
        <f t="shared" ca="1" si="4"/>
        <v>0</v>
      </c>
      <c r="F104" s="192">
        <v>0</v>
      </c>
      <c r="H104" s="2">
        <f t="shared" ref="H104:H128" si="6">I104-O104</f>
        <v>44028</v>
      </c>
      <c r="I104" s="2">
        <f>'Matriz de riesgo SD'!$I$2-N104</f>
        <v>44029</v>
      </c>
      <c r="J104" s="67" t="s">
        <v>50</v>
      </c>
      <c r="K104" t="s">
        <v>42</v>
      </c>
      <c r="L104" s="4"/>
      <c r="M104">
        <f>IF(Tareas[[#This Row],[Activo]]="sí",1,0)</f>
        <v>0</v>
      </c>
      <c r="N104" s="4">
        <v>5</v>
      </c>
      <c r="O104" s="26">
        <v>1</v>
      </c>
    </row>
    <row r="105" spans="1:15" ht="15.75" hidden="1" thickBot="1" x14ac:dyDescent="0.3">
      <c r="A105" s="23" t="s">
        <v>97</v>
      </c>
      <c r="B105" s="55">
        <f>IF(Tareas[[#This Row],[ID]]=1,100/SUM($M$100:$M$107),0)</f>
        <v>0</v>
      </c>
      <c r="C105" s="12" t="s">
        <v>166</v>
      </c>
      <c r="D105" s="12" t="s">
        <v>93</v>
      </c>
      <c r="E105" s="55">
        <f t="shared" ca="1" si="4"/>
        <v>0</v>
      </c>
      <c r="F105" s="192">
        <v>0</v>
      </c>
      <c r="G105" s="12"/>
      <c r="H105" s="13">
        <f t="shared" si="6"/>
        <v>44028</v>
      </c>
      <c r="I105" s="13">
        <f>'Matriz de riesgo SD'!$I$2-N105</f>
        <v>44029</v>
      </c>
      <c r="J105" s="67" t="s">
        <v>50</v>
      </c>
      <c r="K105" s="12" t="s">
        <v>42</v>
      </c>
      <c r="L105" s="14"/>
      <c r="M105" s="15">
        <f>IF(Tareas[[#This Row],[Activo]]="sí",1,0)</f>
        <v>0</v>
      </c>
      <c r="N105" s="12">
        <v>5</v>
      </c>
      <c r="O105" s="24">
        <v>1</v>
      </c>
    </row>
    <row r="106" spans="1:15" ht="15.75" hidden="1" thickBot="1" x14ac:dyDescent="0.3">
      <c r="A106" s="25" t="s">
        <v>98</v>
      </c>
      <c r="B106" s="56">
        <f>IF(Tareas[[#This Row],[ID]]=1,100/SUM($M$100:$M$107),0)</f>
        <v>0</v>
      </c>
      <c r="C106" t="s">
        <v>166</v>
      </c>
      <c r="D106" s="4" t="s">
        <v>93</v>
      </c>
      <c r="E106" s="56">
        <f t="shared" ca="1" si="4"/>
        <v>0</v>
      </c>
      <c r="F106" s="192">
        <v>0</v>
      </c>
      <c r="H106" s="2">
        <f t="shared" si="6"/>
        <v>44028</v>
      </c>
      <c r="I106" s="2">
        <f>'Matriz de riesgo SD'!$I$2-N106</f>
        <v>44029</v>
      </c>
      <c r="J106" s="67" t="s">
        <v>50</v>
      </c>
      <c r="K106" t="s">
        <v>42</v>
      </c>
      <c r="L106" s="4"/>
      <c r="M106">
        <f>IF(Tareas[[#This Row],[Activo]]="sí",1,0)</f>
        <v>0</v>
      </c>
      <c r="N106" s="4">
        <v>5</v>
      </c>
      <c r="O106" s="26">
        <v>1</v>
      </c>
    </row>
    <row r="107" spans="1:15" ht="15.75" hidden="1" thickBot="1" x14ac:dyDescent="0.3">
      <c r="A107" s="62" t="s">
        <v>270</v>
      </c>
      <c r="B107" s="60">
        <f>IF(Tareas[[#This Row],[ID]]=1,100/SUM($M$100:$M$107),0)</f>
        <v>0</v>
      </c>
      <c r="C107" s="63" t="s">
        <v>166</v>
      </c>
      <c r="D107" s="63" t="s">
        <v>93</v>
      </c>
      <c r="E107" s="60">
        <f t="shared" ca="1" si="4"/>
        <v>0</v>
      </c>
      <c r="F107" s="192">
        <v>0</v>
      </c>
      <c r="G107" s="63"/>
      <c r="H107" s="64">
        <f t="shared" si="6"/>
        <v>44028</v>
      </c>
      <c r="I107" s="64">
        <f>'Matriz de riesgo SD'!$I$2-N107</f>
        <v>44029</v>
      </c>
      <c r="J107" s="67" t="s">
        <v>50</v>
      </c>
      <c r="K107" s="63" t="s">
        <v>42</v>
      </c>
      <c r="L107" s="65"/>
      <c r="M107" s="30">
        <f>IF(Tareas[[#This Row],[Activo]]="sí",1,0)</f>
        <v>0</v>
      </c>
      <c r="N107" s="63">
        <v>5</v>
      </c>
      <c r="O107" s="66">
        <v>1</v>
      </c>
    </row>
    <row r="108" spans="1:15" x14ac:dyDescent="0.25">
      <c r="A108" s="16" t="s">
        <v>101</v>
      </c>
      <c r="B108" s="54">
        <f>IF(Tareas[[#This Row],[ID]]=1,100/SUM($M$108:$M$116),0)</f>
        <v>12.5</v>
      </c>
      <c r="C108" s="18" t="s">
        <v>139</v>
      </c>
      <c r="D108" s="18" t="s">
        <v>100</v>
      </c>
      <c r="E108" s="54">
        <f t="shared" ca="1" si="4"/>
        <v>12.5</v>
      </c>
      <c r="F108" s="192">
        <v>0</v>
      </c>
      <c r="G108" s="18"/>
      <c r="H108" s="20">
        <f t="shared" si="6"/>
        <v>44023</v>
      </c>
      <c r="I108" s="20">
        <f>'Matriz de riesgo SD'!$I$2-N108</f>
        <v>44024</v>
      </c>
      <c r="J108" s="67" t="s">
        <v>41</v>
      </c>
      <c r="K108" s="18" t="s">
        <v>42</v>
      </c>
      <c r="L108" s="21"/>
      <c r="M108" s="17">
        <f>IF(Tareas[[#This Row],[Activo]]="sí",1,0)</f>
        <v>1</v>
      </c>
      <c r="N108" s="18">
        <v>10</v>
      </c>
      <c r="O108" s="22">
        <v>1</v>
      </c>
    </row>
    <row r="109" spans="1:15" x14ac:dyDescent="0.25">
      <c r="A109" s="39" t="s">
        <v>102</v>
      </c>
      <c r="B109" s="53">
        <f>IF(Tareas[[#This Row],[ID]]=1,100/SUM($M$108:$M$116),0)</f>
        <v>12.5</v>
      </c>
      <c r="C109" s="5" t="s">
        <v>139</v>
      </c>
      <c r="D109" s="5" t="s">
        <v>100</v>
      </c>
      <c r="E109" s="53">
        <f t="shared" ca="1" si="4"/>
        <v>12.5</v>
      </c>
      <c r="F109" s="192">
        <v>0</v>
      </c>
      <c r="G109" s="5"/>
      <c r="H109" s="6">
        <f t="shared" si="6"/>
        <v>44028</v>
      </c>
      <c r="I109" s="6">
        <f>'Matriz de riesgo SD'!$I$2-N109</f>
        <v>44029</v>
      </c>
      <c r="J109" s="67" t="s">
        <v>41</v>
      </c>
      <c r="K109" s="5" t="s">
        <v>287</v>
      </c>
      <c r="L109" s="7"/>
      <c r="M109" s="8">
        <f>IF(Tareas[[#This Row],[Activo]]="sí",1,0)</f>
        <v>1</v>
      </c>
      <c r="N109" s="5">
        <v>5</v>
      </c>
      <c r="O109" s="40">
        <v>1</v>
      </c>
    </row>
    <row r="110" spans="1:15" hidden="1" x14ac:dyDescent="0.25">
      <c r="A110" s="25" t="s">
        <v>271</v>
      </c>
      <c r="B110" s="56">
        <f>IF(Tareas[[#This Row],[ID]]=1,100/SUM($M$108:$M$116),0)</f>
        <v>0</v>
      </c>
      <c r="C110" t="s">
        <v>139</v>
      </c>
      <c r="D110" t="s">
        <v>100</v>
      </c>
      <c r="E110" s="56">
        <f t="shared" ca="1" si="4"/>
        <v>0</v>
      </c>
      <c r="F110" s="192">
        <v>0</v>
      </c>
      <c r="H110" s="2">
        <f t="shared" si="6"/>
        <v>44018</v>
      </c>
      <c r="I110" s="2">
        <f>'Matriz de riesgo SD'!$I$2-N110</f>
        <v>44019</v>
      </c>
      <c r="J110" s="67" t="s">
        <v>50</v>
      </c>
      <c r="K110" t="s">
        <v>288</v>
      </c>
      <c r="M110" s="4">
        <f>IF(Tareas[[#This Row],[Activo]]="sí",1,0)</f>
        <v>0</v>
      </c>
      <c r="N110">
        <v>15</v>
      </c>
      <c r="O110" s="26">
        <v>1</v>
      </c>
    </row>
    <row r="111" spans="1:15" x14ac:dyDescent="0.25">
      <c r="A111" s="39" t="s">
        <v>272</v>
      </c>
      <c r="B111" s="53">
        <f>IF(Tareas[[#This Row],[ID]]=1,100/SUM($M$108:$M$116),0)</f>
        <v>12.5</v>
      </c>
      <c r="C111" s="5" t="s">
        <v>139</v>
      </c>
      <c r="D111" s="5" t="s">
        <v>100</v>
      </c>
      <c r="E111" s="53">
        <f t="shared" ca="1" si="4"/>
        <v>12.5</v>
      </c>
      <c r="F111" s="192">
        <v>0</v>
      </c>
      <c r="G111" s="5"/>
      <c r="H111" s="6">
        <f t="shared" si="6"/>
        <v>44032</v>
      </c>
      <c r="I111" s="6">
        <f>'Matriz de riesgo SD'!$I$2-N111</f>
        <v>44033</v>
      </c>
      <c r="J111" s="67" t="s">
        <v>41</v>
      </c>
      <c r="K111" s="5" t="s">
        <v>289</v>
      </c>
      <c r="L111" s="7"/>
      <c r="M111" s="8">
        <f>IF(Tareas[[#This Row],[Activo]]="sí",1,0)</f>
        <v>1</v>
      </c>
      <c r="N111" s="5">
        <v>1</v>
      </c>
      <c r="O111" s="40">
        <v>1</v>
      </c>
    </row>
    <row r="112" spans="1:15" x14ac:dyDescent="0.25">
      <c r="A112" s="25" t="s">
        <v>273</v>
      </c>
      <c r="B112" s="56">
        <f>IF(Tareas[[#This Row],[ID]]=1,100/SUM($M$108:$M$116),0)</f>
        <v>12.5</v>
      </c>
      <c r="C112" t="s">
        <v>139</v>
      </c>
      <c r="D112" t="s">
        <v>100</v>
      </c>
      <c r="E112" s="56">
        <f t="shared" ca="1" si="4"/>
        <v>12.5</v>
      </c>
      <c r="F112" s="192">
        <v>0</v>
      </c>
      <c r="H112" s="2">
        <f t="shared" si="6"/>
        <v>44032</v>
      </c>
      <c r="I112" s="2">
        <f>'Matriz de riesgo SD'!$I$2-N112</f>
        <v>44033</v>
      </c>
      <c r="J112" s="67" t="s">
        <v>41</v>
      </c>
      <c r="K112" t="s">
        <v>290</v>
      </c>
      <c r="M112" s="4">
        <f>IF(Tareas[[#This Row],[Activo]]="sí",1,0)</f>
        <v>1</v>
      </c>
      <c r="N112">
        <v>1</v>
      </c>
      <c r="O112" s="26">
        <v>1</v>
      </c>
    </row>
    <row r="113" spans="1:15" x14ac:dyDescent="0.25">
      <c r="A113" s="39" t="s">
        <v>274</v>
      </c>
      <c r="B113" s="53">
        <f>IF(Tareas[[#This Row],[ID]]=1,100/SUM($M$108:$M$116),0)</f>
        <v>12.5</v>
      </c>
      <c r="C113" s="5" t="s">
        <v>139</v>
      </c>
      <c r="D113" s="5" t="s">
        <v>100</v>
      </c>
      <c r="E113" s="53">
        <f t="shared" ca="1" si="4"/>
        <v>12.5</v>
      </c>
      <c r="F113" s="192">
        <v>0</v>
      </c>
      <c r="G113" s="5"/>
      <c r="H113" s="6">
        <f t="shared" si="6"/>
        <v>44032</v>
      </c>
      <c r="I113" s="6">
        <f>'Matriz de riesgo SD'!$I$2-N113</f>
        <v>44033</v>
      </c>
      <c r="J113" s="67" t="s">
        <v>41</v>
      </c>
      <c r="K113" s="5" t="s">
        <v>291</v>
      </c>
      <c r="L113" s="7"/>
      <c r="M113" s="8">
        <f>IF(Tareas[[#This Row],[Activo]]="sí",1,0)</f>
        <v>1</v>
      </c>
      <c r="N113" s="5">
        <v>1</v>
      </c>
      <c r="O113" s="40">
        <v>1</v>
      </c>
    </row>
    <row r="114" spans="1:15" x14ac:dyDescent="0.25">
      <c r="A114" s="25" t="s">
        <v>275</v>
      </c>
      <c r="B114" s="56">
        <f>IF(Tareas[[#This Row],[ID]]=1,100/SUM($M$108:$M$116),0)</f>
        <v>12.5</v>
      </c>
      <c r="C114" t="s">
        <v>139</v>
      </c>
      <c r="D114" t="s">
        <v>100</v>
      </c>
      <c r="E114" s="56">
        <f t="shared" ca="1" si="4"/>
        <v>12.5</v>
      </c>
      <c r="F114" s="192">
        <v>0</v>
      </c>
      <c r="H114" s="2">
        <f t="shared" si="6"/>
        <v>44031</v>
      </c>
      <c r="I114" s="2">
        <f>'Matriz de riesgo SD'!$I$2-N114</f>
        <v>44032</v>
      </c>
      <c r="J114" s="67" t="s">
        <v>41</v>
      </c>
      <c r="K114" t="s">
        <v>292</v>
      </c>
      <c r="M114" s="4">
        <f>IF(Tareas[[#This Row],[Activo]]="sí",1,0)</f>
        <v>1</v>
      </c>
      <c r="N114">
        <v>2</v>
      </c>
      <c r="O114" s="26">
        <v>1</v>
      </c>
    </row>
    <row r="115" spans="1:15" x14ac:dyDescent="0.25">
      <c r="A115" s="39" t="s">
        <v>276</v>
      </c>
      <c r="B115" s="53">
        <f>IF(Tareas[[#This Row],[ID]]=1,100/SUM($M$108:$M$116),0)</f>
        <v>12.5</v>
      </c>
      <c r="C115" s="5" t="s">
        <v>139</v>
      </c>
      <c r="D115" s="5" t="s">
        <v>100</v>
      </c>
      <c r="E115" s="53">
        <f t="shared" ca="1" si="4"/>
        <v>12.5</v>
      </c>
      <c r="F115" s="192">
        <v>0</v>
      </c>
      <c r="G115" s="5"/>
      <c r="H115" s="6">
        <f t="shared" si="6"/>
        <v>44032</v>
      </c>
      <c r="I115" s="6">
        <f>'Matriz de riesgo SD'!$I$2-N115</f>
        <v>44033</v>
      </c>
      <c r="J115" s="67" t="s">
        <v>41</v>
      </c>
      <c r="K115" s="5" t="s">
        <v>293</v>
      </c>
      <c r="L115" s="7"/>
      <c r="M115" s="8">
        <f>IF(Tareas[[#This Row],[Activo]]="sí",1,0)</f>
        <v>1</v>
      </c>
      <c r="N115" s="5">
        <v>1</v>
      </c>
      <c r="O115" s="40">
        <v>1</v>
      </c>
    </row>
    <row r="116" spans="1:15" ht="15.75" thickBot="1" x14ac:dyDescent="0.3">
      <c r="A116" s="27" t="s">
        <v>277</v>
      </c>
      <c r="B116" s="57">
        <f>IF(Tareas[[#This Row],[ID]]=1,100/SUM($M$108:$M$116),0)</f>
        <v>12.5</v>
      </c>
      <c r="C116" s="29" t="s">
        <v>139</v>
      </c>
      <c r="D116" s="29" t="s">
        <v>100</v>
      </c>
      <c r="E116" s="57">
        <f t="shared" ca="1" si="4"/>
        <v>12.5</v>
      </c>
      <c r="F116" s="192">
        <v>0</v>
      </c>
      <c r="G116" s="29"/>
      <c r="H116" s="31">
        <f t="shared" si="6"/>
        <v>44032</v>
      </c>
      <c r="I116" s="31">
        <f>'Matriz de riesgo SD'!$I$2-N116</f>
        <v>44033</v>
      </c>
      <c r="J116" s="67" t="s">
        <v>41</v>
      </c>
      <c r="K116" s="29" t="s">
        <v>294</v>
      </c>
      <c r="L116" s="41"/>
      <c r="M116" s="28">
        <f>IF(Tareas[[#This Row],[Activo]]="sí",1,0)</f>
        <v>1</v>
      </c>
      <c r="N116" s="29">
        <v>1</v>
      </c>
      <c r="O116" s="32">
        <v>1</v>
      </c>
    </row>
    <row r="117" spans="1:15" x14ac:dyDescent="0.25">
      <c r="A117" s="42" t="s">
        <v>103</v>
      </c>
      <c r="B117" s="58">
        <f>IF(Tareas[[#This Row],[ID]]=1,100/SUM($M$117:$M$128),0)</f>
        <v>8.3333333333333339</v>
      </c>
      <c r="C117" s="43" t="s">
        <v>139</v>
      </c>
      <c r="D117" s="43" t="s">
        <v>104</v>
      </c>
      <c r="E117" s="58">
        <f t="shared" ca="1" si="4"/>
        <v>8.3333333333333339</v>
      </c>
      <c r="F117" s="192">
        <v>0</v>
      </c>
      <c r="G117" s="43"/>
      <c r="H117" s="44">
        <f t="shared" si="6"/>
        <v>44032</v>
      </c>
      <c r="I117" s="44">
        <f>'Matriz de riesgo SD'!$I$2-N117</f>
        <v>44033</v>
      </c>
      <c r="J117" s="67" t="s">
        <v>41</v>
      </c>
      <c r="K117" s="43" t="s">
        <v>295</v>
      </c>
      <c r="L117" s="45"/>
      <c r="M117" s="19">
        <f>IF(Tareas[[#This Row],[Activo]]="sí",1,0)</f>
        <v>1</v>
      </c>
      <c r="N117" s="43">
        <v>1</v>
      </c>
      <c r="O117" s="46">
        <v>1</v>
      </c>
    </row>
    <row r="118" spans="1:15" x14ac:dyDescent="0.25">
      <c r="A118" s="25" t="s">
        <v>278</v>
      </c>
      <c r="B118" s="56">
        <f>IF(Tareas[[#This Row],[ID]]=1,100/SUM($M$117:$M$128),0)</f>
        <v>8.3333333333333339</v>
      </c>
      <c r="C118" t="s">
        <v>139</v>
      </c>
      <c r="D118" s="4" t="s">
        <v>104</v>
      </c>
      <c r="E118" s="56">
        <f t="shared" ca="1" si="4"/>
        <v>8.3333333333333339</v>
      </c>
      <c r="F118" s="192">
        <v>0</v>
      </c>
      <c r="H118" s="2">
        <f t="shared" si="6"/>
        <v>44030</v>
      </c>
      <c r="I118" s="2">
        <f>'Matriz de riesgo SD'!$I$2-N118</f>
        <v>44031</v>
      </c>
      <c r="J118" s="67" t="s">
        <v>41</v>
      </c>
      <c r="K118" t="s">
        <v>42</v>
      </c>
      <c r="L118" s="4"/>
      <c r="M118">
        <f>IF(Tareas[[#This Row],[Activo]]="sí",1,0)</f>
        <v>1</v>
      </c>
      <c r="N118" s="4">
        <v>3</v>
      </c>
      <c r="O118" s="26">
        <v>1</v>
      </c>
    </row>
    <row r="119" spans="1:15" x14ac:dyDescent="0.25">
      <c r="A119" s="23" t="s">
        <v>105</v>
      </c>
      <c r="B119" s="55">
        <f>IF(Tareas[[#This Row],[ID]]=1,100/SUM($M$117:$M$128),0)</f>
        <v>8.3333333333333339</v>
      </c>
      <c r="C119" s="12" t="s">
        <v>166</v>
      </c>
      <c r="D119" s="12" t="s">
        <v>104</v>
      </c>
      <c r="E119" s="55">
        <f t="shared" ca="1" si="4"/>
        <v>8.3333333333333339</v>
      </c>
      <c r="F119" s="192">
        <v>0</v>
      </c>
      <c r="G119" s="12"/>
      <c r="H119" s="13">
        <f t="shared" si="6"/>
        <v>44020</v>
      </c>
      <c r="I119" s="13">
        <f>'Matriz de riesgo SD'!$I$2-N119</f>
        <v>44027</v>
      </c>
      <c r="J119" s="67" t="s">
        <v>41</v>
      </c>
      <c r="K119" s="12" t="s">
        <v>42</v>
      </c>
      <c r="L119" s="14"/>
      <c r="M119" s="15">
        <f>IF(Tareas[[#This Row],[Activo]]="sí",1,0)</f>
        <v>1</v>
      </c>
      <c r="N119" s="12">
        <v>7</v>
      </c>
      <c r="O119" s="24">
        <v>7</v>
      </c>
    </row>
    <row r="120" spans="1:15" x14ac:dyDescent="0.25">
      <c r="A120" s="25" t="s">
        <v>106</v>
      </c>
      <c r="B120" s="56">
        <f>IF(Tareas[[#This Row],[ID]]=1,100/SUM($M$117:$M$128),0)</f>
        <v>8.3333333333333339</v>
      </c>
      <c r="C120" t="s">
        <v>166</v>
      </c>
      <c r="D120" s="4" t="s">
        <v>104</v>
      </c>
      <c r="E120" s="56">
        <f t="shared" ca="1" si="4"/>
        <v>8.3333333333333339</v>
      </c>
      <c r="F120" s="192">
        <v>0</v>
      </c>
      <c r="H120" s="2">
        <f t="shared" si="6"/>
        <v>44020</v>
      </c>
      <c r="I120" s="2">
        <f>'Matriz de riesgo SD'!$I$2-N120</f>
        <v>44027</v>
      </c>
      <c r="J120" s="67" t="s">
        <v>41</v>
      </c>
      <c r="K120" t="s">
        <v>42</v>
      </c>
      <c r="L120" s="4"/>
      <c r="M120">
        <f>IF(Tareas[[#This Row],[Activo]]="sí",1,0)</f>
        <v>1</v>
      </c>
      <c r="N120" s="4">
        <v>7</v>
      </c>
      <c r="O120" s="26">
        <v>7</v>
      </c>
    </row>
    <row r="121" spans="1:15" x14ac:dyDescent="0.25">
      <c r="A121" s="23" t="s">
        <v>107</v>
      </c>
      <c r="B121" s="55">
        <f>IF(Tareas[[#This Row],[ID]]=1,100/SUM($M$117:$M$128),0)</f>
        <v>8.3333333333333339</v>
      </c>
      <c r="C121" s="12" t="s">
        <v>139</v>
      </c>
      <c r="D121" s="12" t="s">
        <v>104</v>
      </c>
      <c r="E121" s="55">
        <f t="shared" ca="1" si="4"/>
        <v>8.3333333333333339</v>
      </c>
      <c r="F121" s="192">
        <v>0</v>
      </c>
      <c r="G121" s="12"/>
      <c r="H121" s="13">
        <f t="shared" si="6"/>
        <v>44028</v>
      </c>
      <c r="I121" s="13">
        <f>'Matriz de riesgo SD'!$I$2-N121</f>
        <v>44029</v>
      </c>
      <c r="J121" s="67" t="s">
        <v>41</v>
      </c>
      <c r="K121" s="12" t="s">
        <v>42</v>
      </c>
      <c r="L121" s="14"/>
      <c r="M121" s="15">
        <f>IF(Tareas[[#This Row],[Activo]]="sí",1,0)</f>
        <v>1</v>
      </c>
      <c r="N121" s="12">
        <v>5</v>
      </c>
      <c r="O121" s="24">
        <v>1</v>
      </c>
    </row>
    <row r="122" spans="1:15" x14ac:dyDescent="0.25">
      <c r="A122" s="25" t="s">
        <v>108</v>
      </c>
      <c r="B122" s="56">
        <f>IF(Tareas[[#This Row],[ID]]=1,100/SUM($M$117:$M$128),0)</f>
        <v>8.3333333333333339</v>
      </c>
      <c r="C122" t="s">
        <v>139</v>
      </c>
      <c r="D122" s="4" t="s">
        <v>104</v>
      </c>
      <c r="E122" s="56">
        <f t="shared" ca="1" si="4"/>
        <v>8.3333333333333339</v>
      </c>
      <c r="F122" s="192">
        <v>0</v>
      </c>
      <c r="H122" s="2">
        <f t="shared" si="6"/>
        <v>44028</v>
      </c>
      <c r="I122" s="2">
        <f>'Matriz de riesgo SD'!$I$2-N122</f>
        <v>44029</v>
      </c>
      <c r="J122" s="67" t="s">
        <v>41</v>
      </c>
      <c r="K122" t="s">
        <v>42</v>
      </c>
      <c r="L122" s="4"/>
      <c r="M122">
        <f>IF(Tareas[[#This Row],[Activo]]="sí",1,0)</f>
        <v>1</v>
      </c>
      <c r="N122" s="4">
        <v>5</v>
      </c>
      <c r="O122" s="26">
        <v>1</v>
      </c>
    </row>
    <row r="123" spans="1:15" x14ac:dyDescent="0.25">
      <c r="A123" s="23" t="s">
        <v>109</v>
      </c>
      <c r="B123" s="55">
        <f>IF(Tareas[[#This Row],[ID]]=1,100/SUM($M$117:$M$128),0)</f>
        <v>8.3333333333333339</v>
      </c>
      <c r="C123" s="12" t="s">
        <v>139</v>
      </c>
      <c r="D123" s="12" t="s">
        <v>104</v>
      </c>
      <c r="E123" s="55">
        <f t="shared" ca="1" si="4"/>
        <v>8.3333333333333339</v>
      </c>
      <c r="F123" s="192">
        <v>0</v>
      </c>
      <c r="G123" s="12"/>
      <c r="H123" s="13">
        <f t="shared" si="6"/>
        <v>44028</v>
      </c>
      <c r="I123" s="13">
        <f>'Matriz de riesgo SD'!$I$2-N123</f>
        <v>44029</v>
      </c>
      <c r="J123" s="67" t="s">
        <v>41</v>
      </c>
      <c r="K123" s="12" t="s">
        <v>42</v>
      </c>
      <c r="L123" s="14"/>
      <c r="M123" s="15">
        <f>IF(Tareas[[#This Row],[Activo]]="sí",1,0)</f>
        <v>1</v>
      </c>
      <c r="N123" s="12">
        <v>5</v>
      </c>
      <c r="O123" s="24">
        <v>1</v>
      </c>
    </row>
    <row r="124" spans="1:15" x14ac:dyDescent="0.25">
      <c r="A124" s="25" t="s">
        <v>279</v>
      </c>
      <c r="B124" s="56">
        <f>IF(Tareas[[#This Row],[ID]]=1,100/SUM($M$117:$M$128),0)</f>
        <v>8.3333333333333339</v>
      </c>
      <c r="C124" t="s">
        <v>139</v>
      </c>
      <c r="D124" s="4" t="s">
        <v>104</v>
      </c>
      <c r="E124" s="56">
        <f t="shared" ca="1" si="4"/>
        <v>8.3333333333333339</v>
      </c>
      <c r="F124" s="192">
        <v>0</v>
      </c>
      <c r="H124" s="2">
        <f t="shared" si="6"/>
        <v>44029</v>
      </c>
      <c r="I124" s="2">
        <f>'Matriz de riesgo SD'!$I$2-N124</f>
        <v>44030</v>
      </c>
      <c r="J124" s="67" t="s">
        <v>41</v>
      </c>
      <c r="K124" t="s">
        <v>42</v>
      </c>
      <c r="L124" s="4"/>
      <c r="M124">
        <f>IF(Tareas[[#This Row],[Activo]]="sí",1,0)</f>
        <v>1</v>
      </c>
      <c r="N124" s="4">
        <v>4</v>
      </c>
      <c r="O124" s="26">
        <v>1</v>
      </c>
    </row>
    <row r="125" spans="1:15" x14ac:dyDescent="0.25">
      <c r="A125" s="23" t="s">
        <v>280</v>
      </c>
      <c r="B125" s="55">
        <f>IF(Tareas[[#This Row],[ID]]=1,100/SUM($M$117:$M$128),0)</f>
        <v>8.3333333333333339</v>
      </c>
      <c r="C125" s="12" t="s">
        <v>139</v>
      </c>
      <c r="D125" s="12" t="s">
        <v>104</v>
      </c>
      <c r="E125" s="55">
        <f t="shared" ca="1" si="4"/>
        <v>8.3333333333333339</v>
      </c>
      <c r="F125" s="192">
        <v>0</v>
      </c>
      <c r="G125" s="12"/>
      <c r="H125" s="13">
        <f t="shared" si="6"/>
        <v>44032</v>
      </c>
      <c r="I125" s="13">
        <f>'Matriz de riesgo SD'!$I$2-N125</f>
        <v>44033</v>
      </c>
      <c r="J125" s="67" t="s">
        <v>41</v>
      </c>
      <c r="K125" s="12" t="s">
        <v>42</v>
      </c>
      <c r="L125" s="14"/>
      <c r="M125" s="15">
        <f>IF(Tareas[[#This Row],[Activo]]="sí",1,0)</f>
        <v>1</v>
      </c>
      <c r="N125" s="12">
        <v>1</v>
      </c>
      <c r="O125" s="24">
        <v>1</v>
      </c>
    </row>
    <row r="126" spans="1:15" x14ac:dyDescent="0.25">
      <c r="A126" s="25" t="s">
        <v>281</v>
      </c>
      <c r="B126" s="56">
        <f>IF(Tareas[[#This Row],[ID]]=1,100/SUM($M$117:$M$128),0)</f>
        <v>8.3333333333333339</v>
      </c>
      <c r="C126" t="s">
        <v>139</v>
      </c>
      <c r="D126" s="4" t="s">
        <v>104</v>
      </c>
      <c r="E126" s="56">
        <f t="shared" ca="1" si="4"/>
        <v>8.3333333333333339</v>
      </c>
      <c r="F126" s="192">
        <v>0</v>
      </c>
      <c r="H126" s="2">
        <f t="shared" si="6"/>
        <v>44024</v>
      </c>
      <c r="I126" s="2">
        <f>'Matriz de riesgo SD'!$I$2-N126</f>
        <v>44029</v>
      </c>
      <c r="J126" s="67" t="s">
        <v>41</v>
      </c>
      <c r="K126" t="s">
        <v>42</v>
      </c>
      <c r="L126" s="4"/>
      <c r="M126">
        <f>IF(Tareas[[#This Row],[Activo]]="sí",1,0)</f>
        <v>1</v>
      </c>
      <c r="N126" s="4">
        <v>5</v>
      </c>
      <c r="O126" s="26">
        <v>5</v>
      </c>
    </row>
    <row r="127" spans="1:15" x14ac:dyDescent="0.25">
      <c r="A127" s="23" t="s">
        <v>282</v>
      </c>
      <c r="B127" s="55">
        <f>IF(Tareas[[#This Row],[ID]]=1,100/SUM($M$117:$M$128),0)</f>
        <v>8.3333333333333339</v>
      </c>
      <c r="C127" s="12" t="s">
        <v>139</v>
      </c>
      <c r="D127" s="12" t="s">
        <v>104</v>
      </c>
      <c r="E127" s="55">
        <f t="shared" ca="1" si="4"/>
        <v>8.3333333333333339</v>
      </c>
      <c r="F127" s="192">
        <v>0</v>
      </c>
      <c r="G127" s="12"/>
      <c r="H127" s="13">
        <f t="shared" si="6"/>
        <v>44032</v>
      </c>
      <c r="I127" s="13">
        <f>'Matriz de riesgo SD'!$I$2-N127</f>
        <v>44033</v>
      </c>
      <c r="J127" s="67" t="s">
        <v>41</v>
      </c>
      <c r="K127" s="12" t="s">
        <v>42</v>
      </c>
      <c r="L127" s="14"/>
      <c r="M127" s="15">
        <f>IF(Tareas[[#This Row],[Activo]]="sí",1,0)</f>
        <v>1</v>
      </c>
      <c r="N127" s="12">
        <v>1</v>
      </c>
      <c r="O127" s="24">
        <v>1</v>
      </c>
    </row>
    <row r="128" spans="1:15" ht="15.75" thickBot="1" x14ac:dyDescent="0.3">
      <c r="A128" s="27" t="s">
        <v>283</v>
      </c>
      <c r="B128" s="57">
        <f>IF(Tareas[[#This Row],[ID]]=1,100/SUM($M$117:$M$128),0)</f>
        <v>8.3333333333333339</v>
      </c>
      <c r="C128" s="29" t="s">
        <v>139</v>
      </c>
      <c r="D128" s="28" t="s">
        <v>104</v>
      </c>
      <c r="E128" s="57">
        <f t="shared" ca="1" si="4"/>
        <v>8.3333333333333339</v>
      </c>
      <c r="F128" s="192">
        <v>0</v>
      </c>
      <c r="G128" s="29"/>
      <c r="H128" s="31">
        <f t="shared" si="6"/>
        <v>44032</v>
      </c>
      <c r="I128" s="31">
        <f>'Matriz de riesgo SD'!$I$2-N128</f>
        <v>44033</v>
      </c>
      <c r="J128" s="67" t="s">
        <v>41</v>
      </c>
      <c r="K128" s="29" t="s">
        <v>42</v>
      </c>
      <c r="L128" s="28"/>
      <c r="M128" s="29">
        <f>IF(Tareas[[#This Row],[Activo]]="sí",1,0)</f>
        <v>1</v>
      </c>
      <c r="N128" s="28">
        <v>1</v>
      </c>
      <c r="O128" s="32">
        <v>1</v>
      </c>
    </row>
  </sheetData>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xr:uid="{00000000-0002-0000-0100-000000000000}">
          <x14:formula1>
            <xm:f>Responsables!$A$2:$A$105</xm:f>
          </x14:formula1>
          <xm:sqref>C2:C128</xm:sqref>
        </x14:dataValidation>
        <x14:dataValidation type="list" xr:uid="{00000000-0002-0000-0100-000001000000}">
          <x14:formula1>
            <xm:f>Activo!$A$2:$A$3</xm:f>
          </x14:formula1>
          <xm:sqref>J2:J128</xm:sqref>
        </x14:dataValidation>
        <x14:dataValidation type="list" xr:uid="{00000000-0002-0000-0100-000002000000}">
          <x14:formula1>
            <xm:f>Actividades!$B$2:$B$13</xm:f>
          </x14:formula1>
          <xm:sqref>D2:D128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C13"/>
  <sheetViews>
    <sheetView workbookViewId="0">
      <selection sqref="A1:XFD15"/>
    </sheetView>
  </sheetViews>
  <sheetFormatPr baseColWidth="10" defaultColWidth="9.42578125" defaultRowHeight="15" x14ac:dyDescent="0.25"/>
  <sheetData>
    <row r="1" spans="1:3" x14ac:dyDescent="0.25">
      <c r="A1" t="s">
        <v>0</v>
      </c>
      <c r="B1" t="s">
        <v>1</v>
      </c>
      <c r="C1" t="s">
        <v>2</v>
      </c>
    </row>
    <row r="2" spans="1:3" x14ac:dyDescent="0.25">
      <c r="A2">
        <v>1</v>
      </c>
      <c r="B2" t="s">
        <v>111</v>
      </c>
      <c r="C2" t="s">
        <v>4</v>
      </c>
    </row>
    <row r="3" spans="1:3" x14ac:dyDescent="0.25">
      <c r="A3">
        <v>2</v>
      </c>
      <c r="B3" t="s">
        <v>112</v>
      </c>
      <c r="C3" t="s">
        <v>4</v>
      </c>
    </row>
    <row r="4" spans="1:3" x14ac:dyDescent="0.25">
      <c r="A4">
        <v>3</v>
      </c>
      <c r="B4" t="s">
        <v>113</v>
      </c>
      <c r="C4" t="s">
        <v>4</v>
      </c>
    </row>
    <row r="5" spans="1:3" x14ac:dyDescent="0.25">
      <c r="A5">
        <v>4</v>
      </c>
      <c r="B5" t="s">
        <v>114</v>
      </c>
      <c r="C5" t="s">
        <v>4</v>
      </c>
    </row>
    <row r="6" spans="1:3" x14ac:dyDescent="0.25">
      <c r="A6">
        <v>5</v>
      </c>
      <c r="B6" t="s">
        <v>17</v>
      </c>
      <c r="C6" t="s">
        <v>4</v>
      </c>
    </row>
    <row r="7" spans="1:3" x14ac:dyDescent="0.25">
      <c r="A7">
        <v>6</v>
      </c>
      <c r="B7" t="s">
        <v>115</v>
      </c>
      <c r="C7" t="s">
        <v>4</v>
      </c>
    </row>
    <row r="8" spans="1:3" x14ac:dyDescent="0.25">
      <c r="A8">
        <v>7</v>
      </c>
      <c r="B8" t="s">
        <v>116</v>
      </c>
      <c r="C8" t="s">
        <v>4</v>
      </c>
    </row>
    <row r="9" spans="1:3" x14ac:dyDescent="0.25">
      <c r="A9">
        <v>8</v>
      </c>
      <c r="B9" t="s">
        <v>117</v>
      </c>
      <c r="C9" t="s">
        <v>4</v>
      </c>
    </row>
    <row r="10" spans="1:3" x14ac:dyDescent="0.25">
      <c r="A10">
        <v>9</v>
      </c>
      <c r="B10" t="s">
        <v>118</v>
      </c>
      <c r="C10" t="s">
        <v>4</v>
      </c>
    </row>
    <row r="11" spans="1:3" x14ac:dyDescent="0.25">
      <c r="A11">
        <v>10</v>
      </c>
      <c r="B11" t="s">
        <v>19</v>
      </c>
      <c r="C11" t="s">
        <v>4</v>
      </c>
    </row>
    <row r="12" spans="1:3" x14ac:dyDescent="0.25">
      <c r="A12">
        <v>11</v>
      </c>
      <c r="B12" t="s">
        <v>20</v>
      </c>
      <c r="C12" t="s">
        <v>4</v>
      </c>
    </row>
    <row r="13" spans="1:3" x14ac:dyDescent="0.25">
      <c r="A13">
        <v>12</v>
      </c>
      <c r="B13" t="s">
        <v>119</v>
      </c>
      <c r="C13"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C23"/>
  <sheetViews>
    <sheetView workbookViewId="0">
      <selection sqref="A1:XFD13"/>
    </sheetView>
  </sheetViews>
  <sheetFormatPr baseColWidth="10" defaultColWidth="9.42578125" defaultRowHeight="15" x14ac:dyDescent="0.25"/>
  <sheetData>
    <row r="1" spans="1:3" x14ac:dyDescent="0.25">
      <c r="A1" t="s">
        <v>0</v>
      </c>
      <c r="B1" t="s">
        <v>1</v>
      </c>
      <c r="C1" t="s">
        <v>2</v>
      </c>
    </row>
    <row r="2" spans="1:3" x14ac:dyDescent="0.25">
      <c r="A2">
        <v>1</v>
      </c>
      <c r="B2" t="s">
        <v>3</v>
      </c>
      <c r="C2" t="s">
        <v>4</v>
      </c>
    </row>
    <row r="3" spans="1:3" x14ac:dyDescent="0.25">
      <c r="A3">
        <v>2</v>
      </c>
      <c r="B3" t="s">
        <v>5</v>
      </c>
      <c r="C3" t="s">
        <v>4</v>
      </c>
    </row>
    <row r="4" spans="1:3" x14ac:dyDescent="0.25">
      <c r="A4">
        <v>3</v>
      </c>
      <c r="B4" t="s">
        <v>6</v>
      </c>
      <c r="C4" t="s">
        <v>4</v>
      </c>
    </row>
    <row r="5" spans="1:3" x14ac:dyDescent="0.25">
      <c r="A5">
        <v>4</v>
      </c>
      <c r="B5" t="s">
        <v>7</v>
      </c>
      <c r="C5" t="s">
        <v>4</v>
      </c>
    </row>
    <row r="6" spans="1:3" x14ac:dyDescent="0.25">
      <c r="A6">
        <v>5</v>
      </c>
      <c r="B6" t="s">
        <v>8</v>
      </c>
      <c r="C6" t="s">
        <v>4</v>
      </c>
    </row>
    <row r="7" spans="1:3" x14ac:dyDescent="0.25">
      <c r="A7">
        <v>6</v>
      </c>
      <c r="B7" t="s">
        <v>9</v>
      </c>
      <c r="C7" t="s">
        <v>4</v>
      </c>
    </row>
    <row r="8" spans="1:3" x14ac:dyDescent="0.25">
      <c r="A8">
        <v>7</v>
      </c>
      <c r="B8" t="s">
        <v>10</v>
      </c>
      <c r="C8" t="s">
        <v>4</v>
      </c>
    </row>
    <row r="9" spans="1:3" x14ac:dyDescent="0.25">
      <c r="A9">
        <v>8</v>
      </c>
      <c r="B9" t="s">
        <v>11</v>
      </c>
      <c r="C9" t="s">
        <v>4</v>
      </c>
    </row>
    <row r="10" spans="1:3" x14ac:dyDescent="0.25">
      <c r="A10">
        <v>9</v>
      </c>
      <c r="B10" t="s">
        <v>12</v>
      </c>
      <c r="C10" t="s">
        <v>4</v>
      </c>
    </row>
    <row r="11" spans="1:3" x14ac:dyDescent="0.25">
      <c r="A11">
        <v>10</v>
      </c>
      <c r="B11" t="s">
        <v>13</v>
      </c>
      <c r="C11" t="s">
        <v>4</v>
      </c>
    </row>
    <row r="12" spans="1:3" x14ac:dyDescent="0.25">
      <c r="A12">
        <v>11</v>
      </c>
      <c r="B12" t="s">
        <v>14</v>
      </c>
      <c r="C12" t="s">
        <v>4</v>
      </c>
    </row>
    <row r="13" spans="1:3" x14ac:dyDescent="0.25">
      <c r="A13">
        <v>12</v>
      </c>
      <c r="B13" t="s">
        <v>15</v>
      </c>
      <c r="C13" t="s">
        <v>4</v>
      </c>
    </row>
    <row r="14" spans="1:3" x14ac:dyDescent="0.25">
      <c r="A14">
        <v>13</v>
      </c>
      <c r="B14" t="s">
        <v>16</v>
      </c>
      <c r="C14" t="s">
        <v>4</v>
      </c>
    </row>
    <row r="15" spans="1:3" x14ac:dyDescent="0.25">
      <c r="A15">
        <v>14</v>
      </c>
      <c r="B15" t="s">
        <v>17</v>
      </c>
      <c r="C15" t="s">
        <v>4</v>
      </c>
    </row>
    <row r="16" spans="1:3" x14ac:dyDescent="0.25">
      <c r="A16">
        <v>15</v>
      </c>
      <c r="B16" t="s">
        <v>18</v>
      </c>
      <c r="C16" t="s">
        <v>4</v>
      </c>
    </row>
    <row r="17" spans="1:3" x14ac:dyDescent="0.25">
      <c r="A17">
        <v>16</v>
      </c>
      <c r="B17" t="s">
        <v>19</v>
      </c>
      <c r="C17" t="s">
        <v>4</v>
      </c>
    </row>
    <row r="18" spans="1:3" x14ac:dyDescent="0.25">
      <c r="A18">
        <v>17</v>
      </c>
      <c r="B18" t="s">
        <v>20</v>
      </c>
      <c r="C18" t="s">
        <v>4</v>
      </c>
    </row>
    <row r="19" spans="1:3" x14ac:dyDescent="0.25">
      <c r="A19">
        <v>18</v>
      </c>
      <c r="B19" t="s">
        <v>21</v>
      </c>
      <c r="C19" t="s">
        <v>4</v>
      </c>
    </row>
    <row r="20" spans="1:3" x14ac:dyDescent="0.25">
      <c r="A20">
        <v>19</v>
      </c>
      <c r="B20" t="s">
        <v>22</v>
      </c>
      <c r="C20" t="s">
        <v>4</v>
      </c>
    </row>
    <row r="21" spans="1:3" x14ac:dyDescent="0.25">
      <c r="A21">
        <v>21</v>
      </c>
      <c r="B21" t="s">
        <v>23</v>
      </c>
      <c r="C21" t="s">
        <v>4</v>
      </c>
    </row>
    <row r="22" spans="1:3" x14ac:dyDescent="0.25">
      <c r="A22">
        <v>22</v>
      </c>
      <c r="B22" t="s">
        <v>24</v>
      </c>
      <c r="C22" t="s">
        <v>4</v>
      </c>
    </row>
    <row r="23" spans="1:3" x14ac:dyDescent="0.25">
      <c r="A23">
        <v>23</v>
      </c>
      <c r="B23" t="s">
        <v>25</v>
      </c>
      <c r="C23" t="s">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105"/>
  <sheetViews>
    <sheetView workbookViewId="0">
      <selection sqref="A1:XFD13"/>
    </sheetView>
  </sheetViews>
  <sheetFormatPr baseColWidth="10" defaultColWidth="9.42578125" defaultRowHeight="15" x14ac:dyDescent="0.25"/>
  <sheetData>
    <row r="1" spans="1:1" x14ac:dyDescent="0.25">
      <c r="A1" t="s">
        <v>131</v>
      </c>
    </row>
    <row r="2" spans="1:1" x14ac:dyDescent="0.25">
      <c r="A2" t="s">
        <v>132</v>
      </c>
    </row>
    <row r="3" spans="1:1" x14ac:dyDescent="0.25">
      <c r="A3" t="s">
        <v>133</v>
      </c>
    </row>
    <row r="4" spans="1:1" x14ac:dyDescent="0.25">
      <c r="A4" t="s">
        <v>134</v>
      </c>
    </row>
    <row r="5" spans="1:1" x14ac:dyDescent="0.25">
      <c r="A5" t="s">
        <v>43</v>
      </c>
    </row>
    <row r="6" spans="1:1" x14ac:dyDescent="0.25">
      <c r="A6" t="s">
        <v>135</v>
      </c>
    </row>
    <row r="7" spans="1:1" x14ac:dyDescent="0.25">
      <c r="A7" t="s">
        <v>136</v>
      </c>
    </row>
    <row r="8" spans="1:1" x14ac:dyDescent="0.25">
      <c r="A8" t="s">
        <v>66</v>
      </c>
    </row>
    <row r="9" spans="1:1" x14ac:dyDescent="0.25">
      <c r="A9" t="s">
        <v>137</v>
      </c>
    </row>
    <row r="10" spans="1:1" x14ac:dyDescent="0.25">
      <c r="A10" t="s">
        <v>86</v>
      </c>
    </row>
    <row r="11" spans="1:1" x14ac:dyDescent="0.25">
      <c r="A11" t="s">
        <v>39</v>
      </c>
    </row>
    <row r="12" spans="1:1" x14ac:dyDescent="0.25">
      <c r="A12" t="s">
        <v>138</v>
      </c>
    </row>
    <row r="13" spans="1:1" x14ac:dyDescent="0.25">
      <c r="A13" t="s">
        <v>139</v>
      </c>
    </row>
    <row r="14" spans="1:1" x14ac:dyDescent="0.25">
      <c r="A14" t="s">
        <v>85</v>
      </c>
    </row>
    <row r="15" spans="1:1" x14ac:dyDescent="0.25">
      <c r="A15" t="s">
        <v>53</v>
      </c>
    </row>
    <row r="16" spans="1:1" x14ac:dyDescent="0.25">
      <c r="A16" t="s">
        <v>140</v>
      </c>
    </row>
    <row r="17" spans="1:1" x14ac:dyDescent="0.25">
      <c r="A17" t="s">
        <v>141</v>
      </c>
    </row>
    <row r="18" spans="1:1" x14ac:dyDescent="0.25">
      <c r="A18" t="s">
        <v>142</v>
      </c>
    </row>
    <row r="19" spans="1:1" x14ac:dyDescent="0.25">
      <c r="A19" t="s">
        <v>143</v>
      </c>
    </row>
    <row r="20" spans="1:1" x14ac:dyDescent="0.25">
      <c r="A20" t="s">
        <v>144</v>
      </c>
    </row>
    <row r="21" spans="1:1" x14ac:dyDescent="0.25">
      <c r="A21" t="s">
        <v>145</v>
      </c>
    </row>
    <row r="22" spans="1:1" x14ac:dyDescent="0.25">
      <c r="A22" t="s">
        <v>132</v>
      </c>
    </row>
    <row r="23" spans="1:1" x14ac:dyDescent="0.25">
      <c r="A23" t="s">
        <v>145</v>
      </c>
    </row>
    <row r="24" spans="1:1" x14ac:dyDescent="0.25">
      <c r="A24" t="s">
        <v>145</v>
      </c>
    </row>
    <row r="25" spans="1:1" x14ac:dyDescent="0.25">
      <c r="A25" t="s">
        <v>146</v>
      </c>
    </row>
    <row r="26" spans="1:1" x14ac:dyDescent="0.25">
      <c r="A26" t="s">
        <v>147</v>
      </c>
    </row>
    <row r="27" spans="1:1" x14ac:dyDescent="0.25">
      <c r="A27" t="s">
        <v>145</v>
      </c>
    </row>
    <row r="28" spans="1:1" x14ac:dyDescent="0.25">
      <c r="A28" t="s">
        <v>148</v>
      </c>
    </row>
    <row r="29" spans="1:1" x14ac:dyDescent="0.25">
      <c r="A29" t="s">
        <v>80</v>
      </c>
    </row>
    <row r="30" spans="1:1" x14ac:dyDescent="0.25">
      <c r="A30" t="s">
        <v>132</v>
      </c>
    </row>
    <row r="31" spans="1:1" x14ac:dyDescent="0.25">
      <c r="A31" t="s">
        <v>82</v>
      </c>
    </row>
    <row r="32" spans="1:1" x14ac:dyDescent="0.25">
      <c r="A32" t="s">
        <v>149</v>
      </c>
    </row>
    <row r="33" spans="1:1" x14ac:dyDescent="0.25">
      <c r="A33" t="s">
        <v>70</v>
      </c>
    </row>
    <row r="34" spans="1:1" x14ac:dyDescent="0.25">
      <c r="A34" t="s">
        <v>133</v>
      </c>
    </row>
    <row r="35" spans="1:1" x14ac:dyDescent="0.25">
      <c r="A35" t="s">
        <v>99</v>
      </c>
    </row>
    <row r="36" spans="1:1" x14ac:dyDescent="0.25">
      <c r="A36" t="s">
        <v>150</v>
      </c>
    </row>
    <row r="37" spans="1:1" x14ac:dyDescent="0.25">
      <c r="A37" t="s">
        <v>151</v>
      </c>
    </row>
    <row r="38" spans="1:1" x14ac:dyDescent="0.25">
      <c r="A38" t="s">
        <v>152</v>
      </c>
    </row>
    <row r="39" spans="1:1" x14ac:dyDescent="0.25">
      <c r="A39" t="s">
        <v>153</v>
      </c>
    </row>
    <row r="40" spans="1:1" x14ac:dyDescent="0.25">
      <c r="A40" t="s">
        <v>90</v>
      </c>
    </row>
    <row r="41" spans="1:1" x14ac:dyDescent="0.25">
      <c r="A41" t="s">
        <v>154</v>
      </c>
    </row>
    <row r="42" spans="1:1" x14ac:dyDescent="0.25">
      <c r="A42" t="s">
        <v>88</v>
      </c>
    </row>
    <row r="43" spans="1:1" x14ac:dyDescent="0.25">
      <c r="A43" t="s">
        <v>155</v>
      </c>
    </row>
    <row r="44" spans="1:1" x14ac:dyDescent="0.25">
      <c r="A44" t="s">
        <v>156</v>
      </c>
    </row>
    <row r="45" spans="1:1" x14ac:dyDescent="0.25">
      <c r="A45" t="s">
        <v>136</v>
      </c>
    </row>
    <row r="46" spans="1:1" x14ac:dyDescent="0.25">
      <c r="A46" t="s">
        <v>157</v>
      </c>
    </row>
    <row r="47" spans="1:1" x14ac:dyDescent="0.25">
      <c r="A47" t="s">
        <v>158</v>
      </c>
    </row>
    <row r="48" spans="1:1" x14ac:dyDescent="0.25">
      <c r="A48" t="s">
        <v>159</v>
      </c>
    </row>
    <row r="49" spans="1:1" x14ac:dyDescent="0.25">
      <c r="A49" t="s">
        <v>76</v>
      </c>
    </row>
    <row r="50" spans="1:1" x14ac:dyDescent="0.25">
      <c r="A50" t="s">
        <v>160</v>
      </c>
    </row>
    <row r="51" spans="1:1" x14ac:dyDescent="0.25">
      <c r="A51" t="s">
        <v>66</v>
      </c>
    </row>
    <row r="52" spans="1:1" x14ac:dyDescent="0.25">
      <c r="A52" t="s">
        <v>161</v>
      </c>
    </row>
    <row r="53" spans="1:1" x14ac:dyDescent="0.25">
      <c r="A53" t="s">
        <v>162</v>
      </c>
    </row>
    <row r="54" spans="1:1" x14ac:dyDescent="0.25">
      <c r="A54" t="s">
        <v>163</v>
      </c>
    </row>
    <row r="55" spans="1:1" x14ac:dyDescent="0.25">
      <c r="A55" t="s">
        <v>164</v>
      </c>
    </row>
    <row r="56" spans="1:1" x14ac:dyDescent="0.25">
      <c r="A56" t="s">
        <v>165</v>
      </c>
    </row>
    <row r="57" spans="1:1" x14ac:dyDescent="0.25">
      <c r="A57" t="s">
        <v>166</v>
      </c>
    </row>
    <row r="58" spans="1:1" x14ac:dyDescent="0.25">
      <c r="A58" t="s">
        <v>86</v>
      </c>
    </row>
    <row r="59" spans="1:1" x14ac:dyDescent="0.25">
      <c r="A59" t="s">
        <v>167</v>
      </c>
    </row>
    <row r="60" spans="1:1" x14ac:dyDescent="0.25">
      <c r="A60" t="s">
        <v>74</v>
      </c>
    </row>
    <row r="61" spans="1:1" x14ac:dyDescent="0.25">
      <c r="A61" t="s">
        <v>168</v>
      </c>
    </row>
    <row r="62" spans="1:1" x14ac:dyDescent="0.25">
      <c r="A62" t="s">
        <v>169</v>
      </c>
    </row>
    <row r="63" spans="1:1" x14ac:dyDescent="0.25">
      <c r="A63" t="s">
        <v>81</v>
      </c>
    </row>
    <row r="64" spans="1:1" x14ac:dyDescent="0.25">
      <c r="A64" t="s">
        <v>71</v>
      </c>
    </row>
    <row r="65" spans="1:1" x14ac:dyDescent="0.25">
      <c r="A65" t="s">
        <v>73</v>
      </c>
    </row>
    <row r="66" spans="1:1" x14ac:dyDescent="0.25">
      <c r="A66" t="s">
        <v>170</v>
      </c>
    </row>
    <row r="67" spans="1:1" x14ac:dyDescent="0.25">
      <c r="A67" t="s">
        <v>171</v>
      </c>
    </row>
    <row r="68" spans="1:1" x14ac:dyDescent="0.25">
      <c r="A68" t="s">
        <v>172</v>
      </c>
    </row>
    <row r="69" spans="1:1" x14ac:dyDescent="0.25">
      <c r="A69" t="s">
        <v>173</v>
      </c>
    </row>
    <row r="70" spans="1:1" x14ac:dyDescent="0.25">
      <c r="A70" t="s">
        <v>174</v>
      </c>
    </row>
    <row r="71" spans="1:1" x14ac:dyDescent="0.25">
      <c r="A71" t="s">
        <v>175</v>
      </c>
    </row>
    <row r="72" spans="1:1" x14ac:dyDescent="0.25">
      <c r="A72" t="s">
        <v>176</v>
      </c>
    </row>
    <row r="73" spans="1:1" x14ac:dyDescent="0.25">
      <c r="A73" t="s">
        <v>177</v>
      </c>
    </row>
    <row r="74" spans="1:1" x14ac:dyDescent="0.25">
      <c r="A74" t="s">
        <v>65</v>
      </c>
    </row>
    <row r="75" spans="1:1" x14ac:dyDescent="0.25">
      <c r="A75" t="s">
        <v>72</v>
      </c>
    </row>
    <row r="76" spans="1:1" x14ac:dyDescent="0.25">
      <c r="A76" t="s">
        <v>85</v>
      </c>
    </row>
    <row r="77" spans="1:1" x14ac:dyDescent="0.25">
      <c r="A77" t="s">
        <v>178</v>
      </c>
    </row>
    <row r="78" spans="1:1" x14ac:dyDescent="0.25">
      <c r="A78" t="s">
        <v>179</v>
      </c>
    </row>
    <row r="79" spans="1:1" x14ac:dyDescent="0.25">
      <c r="A79" t="s">
        <v>180</v>
      </c>
    </row>
    <row r="80" spans="1:1" x14ac:dyDescent="0.25">
      <c r="A80" t="s">
        <v>181</v>
      </c>
    </row>
    <row r="81" spans="1:1" x14ac:dyDescent="0.25">
      <c r="A81" t="s">
        <v>182</v>
      </c>
    </row>
    <row r="82" spans="1:1" x14ac:dyDescent="0.25">
      <c r="A82" t="s">
        <v>89</v>
      </c>
    </row>
    <row r="83" spans="1:1" x14ac:dyDescent="0.25">
      <c r="A83" t="s">
        <v>183</v>
      </c>
    </row>
    <row r="84" spans="1:1" x14ac:dyDescent="0.25">
      <c r="A84" t="s">
        <v>184</v>
      </c>
    </row>
    <row r="85" spans="1:1" x14ac:dyDescent="0.25">
      <c r="A85" t="s">
        <v>185</v>
      </c>
    </row>
    <row r="86" spans="1:1" x14ac:dyDescent="0.25">
      <c r="A86" t="s">
        <v>186</v>
      </c>
    </row>
    <row r="87" spans="1:1" x14ac:dyDescent="0.25">
      <c r="A87" t="s">
        <v>187</v>
      </c>
    </row>
    <row r="88" spans="1:1" x14ac:dyDescent="0.25">
      <c r="A88" t="s">
        <v>188</v>
      </c>
    </row>
    <row r="89" spans="1:1" x14ac:dyDescent="0.25">
      <c r="A89" t="s">
        <v>189</v>
      </c>
    </row>
    <row r="90" spans="1:1" x14ac:dyDescent="0.25">
      <c r="A90" t="s">
        <v>190</v>
      </c>
    </row>
    <row r="91" spans="1:1" x14ac:dyDescent="0.25">
      <c r="A91" t="s">
        <v>191</v>
      </c>
    </row>
    <row r="92" spans="1:1" x14ac:dyDescent="0.25">
      <c r="A92" t="s">
        <v>69</v>
      </c>
    </row>
    <row r="93" spans="1:1" x14ac:dyDescent="0.25">
      <c r="A93" t="s">
        <v>67</v>
      </c>
    </row>
    <row r="94" spans="1:1" x14ac:dyDescent="0.25">
      <c r="A94" t="s">
        <v>64</v>
      </c>
    </row>
    <row r="95" spans="1:1" x14ac:dyDescent="0.25">
      <c r="A95" t="s">
        <v>192</v>
      </c>
    </row>
    <row r="96" spans="1:1" x14ac:dyDescent="0.25">
      <c r="A96" t="s">
        <v>68</v>
      </c>
    </row>
    <row r="97" spans="1:1" x14ac:dyDescent="0.25">
      <c r="A97" t="s">
        <v>83</v>
      </c>
    </row>
    <row r="98" spans="1:1" x14ac:dyDescent="0.25">
      <c r="A98" t="s">
        <v>92</v>
      </c>
    </row>
    <row r="99" spans="1:1" x14ac:dyDescent="0.25">
      <c r="A99" t="s">
        <v>142</v>
      </c>
    </row>
    <row r="100" spans="1:1" x14ac:dyDescent="0.25">
      <c r="A100" t="s">
        <v>193</v>
      </c>
    </row>
    <row r="101" spans="1:1" x14ac:dyDescent="0.25">
      <c r="A101" t="s">
        <v>87</v>
      </c>
    </row>
    <row r="102" spans="1:1" x14ac:dyDescent="0.25">
      <c r="A102" t="s">
        <v>145</v>
      </c>
    </row>
    <row r="103" spans="1:1" x14ac:dyDescent="0.25">
      <c r="A103" t="s">
        <v>110</v>
      </c>
    </row>
    <row r="104" spans="1:1" x14ac:dyDescent="0.25">
      <c r="A104" t="s">
        <v>194</v>
      </c>
    </row>
    <row r="105" spans="1:1" x14ac:dyDescent="0.25">
      <c r="A105" t="s">
        <v>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G12"/>
  <sheetViews>
    <sheetView zoomScale="120" zoomScaleNormal="120" workbookViewId="0">
      <selection activeCell="F2" sqref="F2"/>
    </sheetView>
  </sheetViews>
  <sheetFormatPr baseColWidth="10" defaultColWidth="9.42578125" defaultRowHeight="15" x14ac:dyDescent="0.25"/>
  <cols>
    <col min="1" max="1" width="9.42578125" customWidth="1"/>
    <col min="2" max="2" width="57" customWidth="1"/>
    <col min="3" max="3" width="13" customWidth="1"/>
    <col min="4" max="4" width="14.5703125" customWidth="1"/>
    <col min="5" max="5" width="10.5703125" customWidth="1"/>
    <col min="6" max="6" width="13" customWidth="1"/>
    <col min="7" max="7" width="21.5703125" customWidth="1"/>
  </cols>
  <sheetData>
    <row r="1" spans="1:7" x14ac:dyDescent="0.25">
      <c r="A1" s="11" t="s">
        <v>0</v>
      </c>
      <c r="B1" s="11" t="s">
        <v>128</v>
      </c>
      <c r="C1" s="11" t="s">
        <v>129</v>
      </c>
      <c r="D1" s="11" t="s">
        <v>30</v>
      </c>
      <c r="E1" s="11" t="s">
        <v>31</v>
      </c>
      <c r="F1" s="11" t="s">
        <v>27</v>
      </c>
      <c r="G1" s="11" t="s">
        <v>130</v>
      </c>
    </row>
    <row r="2" spans="1:7" x14ac:dyDescent="0.25">
      <c r="A2">
        <v>1</v>
      </c>
      <c r="B2" t="s">
        <v>40</v>
      </c>
      <c r="C2">
        <f>COUNTIF(Tareas!M2:M24,1)</f>
        <v>21</v>
      </c>
      <c r="D2" s="4">
        <f ca="1">SUM(Tareas!E2:E24)</f>
        <v>99.999999999999972</v>
      </c>
      <c r="E2" s="4">
        <f>SUM(Tareas!F2:F24)</f>
        <v>57.599999999999987</v>
      </c>
      <c r="F2">
        <f>E2*G2/100</f>
        <v>5.7599999999999989</v>
      </c>
      <c r="G2">
        <v>10</v>
      </c>
    </row>
    <row r="3" spans="1:7" x14ac:dyDescent="0.25">
      <c r="A3" s="12">
        <v>2</v>
      </c>
      <c r="B3" s="12" t="s">
        <v>199</v>
      </c>
      <c r="C3" s="12">
        <f>COUNTIF(Tareas!M25:M32,1)</f>
        <v>4</v>
      </c>
      <c r="D3" s="15">
        <f ca="1">SUM(Tareas!E25:E32)</f>
        <v>100</v>
      </c>
      <c r="E3" s="15">
        <f>SUM(Tareas!F25:F32)</f>
        <v>100</v>
      </c>
      <c r="F3" s="12">
        <f t="shared" ref="F3:F12" si="0">E3*G3/100</f>
        <v>10</v>
      </c>
      <c r="G3" s="12">
        <v>10</v>
      </c>
    </row>
    <row r="4" spans="1:7" x14ac:dyDescent="0.25">
      <c r="A4">
        <v>3</v>
      </c>
      <c r="B4" t="s">
        <v>200</v>
      </c>
      <c r="C4">
        <f>COUNTIF(Tareas!M33:M46,1)</f>
        <v>11</v>
      </c>
      <c r="D4" s="4">
        <f ca="1">SUM(Tareas!E33:E46)</f>
        <v>100.00000000000001</v>
      </c>
      <c r="E4" s="4">
        <f>SUM(Tareas!F33:F46)</f>
        <v>27.299999999999997</v>
      </c>
      <c r="F4">
        <f t="shared" si="0"/>
        <v>2.73</v>
      </c>
      <c r="G4">
        <v>10</v>
      </c>
    </row>
    <row r="5" spans="1:7" x14ac:dyDescent="0.25">
      <c r="A5" s="12">
        <v>4</v>
      </c>
      <c r="B5" s="12" t="s">
        <v>201</v>
      </c>
      <c r="C5" s="12">
        <f>COUNTIF(Tareas!M47:M50,1)</f>
        <v>2</v>
      </c>
      <c r="D5" s="15">
        <f ca="1">SUM(Tareas!E47:E50)</f>
        <v>100</v>
      </c>
      <c r="E5" s="15">
        <f>SUM(Tareas!F47:F50)</f>
        <v>50</v>
      </c>
      <c r="F5" s="12">
        <f t="shared" si="0"/>
        <v>5</v>
      </c>
      <c r="G5" s="12">
        <v>10</v>
      </c>
    </row>
    <row r="6" spans="1:7" x14ac:dyDescent="0.25">
      <c r="A6">
        <v>5</v>
      </c>
      <c r="B6" t="s">
        <v>202</v>
      </c>
      <c r="C6">
        <f>COUNTIF(Tareas!M51:M58,1)</f>
        <v>7</v>
      </c>
      <c r="D6" s="4">
        <f ca="1">SUM(Tareas!E51:E58)</f>
        <v>100.00000000000001</v>
      </c>
      <c r="E6" s="4">
        <f>SUM(Tareas!F51:F58)</f>
        <v>28.6</v>
      </c>
      <c r="F6">
        <f t="shared" si="0"/>
        <v>2.86</v>
      </c>
      <c r="G6">
        <v>10</v>
      </c>
    </row>
    <row r="7" spans="1:7" x14ac:dyDescent="0.25">
      <c r="A7" s="12">
        <v>6</v>
      </c>
      <c r="B7" s="12" t="s">
        <v>203</v>
      </c>
      <c r="C7" s="12">
        <f>COUNTIF(Tareas!M59:M83,1)</f>
        <v>22</v>
      </c>
      <c r="D7" s="15">
        <f ca="1">SUM(Tareas!E59:E83)</f>
        <v>100.00000000000001</v>
      </c>
      <c r="E7" s="15">
        <f>SUM(Tareas!F59:F83)</f>
        <v>54</v>
      </c>
      <c r="F7" s="12">
        <f t="shared" si="0"/>
        <v>5.4</v>
      </c>
      <c r="G7" s="12">
        <v>10</v>
      </c>
    </row>
    <row r="8" spans="1:7" x14ac:dyDescent="0.25">
      <c r="A8">
        <v>7</v>
      </c>
      <c r="B8" t="s">
        <v>204</v>
      </c>
      <c r="C8">
        <f>COUNTIF(Tareas!M84:M88,1)</f>
        <v>4</v>
      </c>
      <c r="D8" s="4">
        <f ca="1">SUM(Tareas!E84:E88)</f>
        <v>100</v>
      </c>
      <c r="E8" s="4">
        <f>SUM(Tareas!F84:F88)</f>
        <v>75</v>
      </c>
      <c r="F8">
        <f t="shared" si="0"/>
        <v>3.75</v>
      </c>
      <c r="G8">
        <v>5</v>
      </c>
    </row>
    <row r="9" spans="1:7" x14ac:dyDescent="0.25">
      <c r="A9" s="12">
        <v>8</v>
      </c>
      <c r="B9" s="12" t="s">
        <v>205</v>
      </c>
      <c r="C9" s="12">
        <f>COUNTIF(Tareas!M89:M99,1)</f>
        <v>9</v>
      </c>
      <c r="D9" s="15">
        <f ca="1">SUM(Tareas!E89:E99)</f>
        <v>100.00000000000001</v>
      </c>
      <c r="E9" s="15">
        <f>SUM(Tareas!F89:F99)</f>
        <v>10</v>
      </c>
      <c r="F9" s="12">
        <f t="shared" si="0"/>
        <v>1</v>
      </c>
      <c r="G9" s="12">
        <v>10</v>
      </c>
    </row>
    <row r="10" spans="1:7" x14ac:dyDescent="0.25">
      <c r="A10">
        <v>9</v>
      </c>
      <c r="B10" t="s">
        <v>93</v>
      </c>
      <c r="C10">
        <f>COUNTIF(Tareas!M100:M107,1)</f>
        <v>4</v>
      </c>
      <c r="D10" s="4">
        <f ca="1">SUM(Tareas!E100:E107)</f>
        <v>100</v>
      </c>
      <c r="E10" s="4">
        <f>SUM(Tareas!F100:F107)</f>
        <v>0</v>
      </c>
      <c r="F10">
        <f t="shared" si="0"/>
        <v>0</v>
      </c>
      <c r="G10">
        <v>10</v>
      </c>
    </row>
    <row r="11" spans="1:7" x14ac:dyDescent="0.25">
      <c r="A11" s="12">
        <v>10</v>
      </c>
      <c r="B11" s="12" t="s">
        <v>100</v>
      </c>
      <c r="C11" s="12">
        <f>COUNTIF(Tareas!M108:M116,1)</f>
        <v>8</v>
      </c>
      <c r="D11" s="15">
        <f ca="1">SUM(Tareas!E108:E116)</f>
        <v>100</v>
      </c>
      <c r="E11" s="15">
        <f>SUM(Tareas!F108:F116)</f>
        <v>0</v>
      </c>
      <c r="F11" s="12">
        <f t="shared" si="0"/>
        <v>0</v>
      </c>
      <c r="G11" s="12">
        <v>10</v>
      </c>
    </row>
    <row r="12" spans="1:7" x14ac:dyDescent="0.25">
      <c r="A12">
        <v>11</v>
      </c>
      <c r="B12" t="s">
        <v>104</v>
      </c>
      <c r="C12">
        <f>COUNTIF(Tareas!M117:M128,1)</f>
        <v>12</v>
      </c>
      <c r="D12" s="4">
        <f ca="1">SUM(Tareas!E117:E128)</f>
        <v>99.999999999999986</v>
      </c>
      <c r="E12" s="4">
        <f>SUM(Tareas!F117:F128)</f>
        <v>0</v>
      </c>
      <c r="F12">
        <f t="shared" si="0"/>
        <v>0</v>
      </c>
      <c r="G12">
        <v>5</v>
      </c>
    </row>
  </sheetData>
  <pageMargins left="0.7" right="0.7" top="0.75" bottom="0.75" header="0.3" footer="0.3"/>
  <ignoredErrors>
    <ignoredError sqref="E2:E12"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dimension ref="A1:H14"/>
  <sheetViews>
    <sheetView topLeftCell="A7" workbookViewId="0">
      <selection activeCell="F2" sqref="F2"/>
    </sheetView>
  </sheetViews>
  <sheetFormatPr baseColWidth="10" defaultColWidth="9.42578125" defaultRowHeight="15" x14ac:dyDescent="0.25"/>
  <cols>
    <col min="2" max="2" width="56" customWidth="1"/>
    <col min="3" max="3" width="12.5703125" customWidth="1"/>
    <col min="4" max="4" width="15.42578125" customWidth="1"/>
    <col min="5" max="8" width="12.5703125" customWidth="1"/>
  </cols>
  <sheetData>
    <row r="1" spans="1:8" x14ac:dyDescent="0.25">
      <c r="A1" s="11" t="s">
        <v>0</v>
      </c>
      <c r="B1" s="11" t="s">
        <v>128</v>
      </c>
      <c r="C1" s="11" t="s">
        <v>129</v>
      </c>
      <c r="D1" s="11" t="s">
        <v>30</v>
      </c>
      <c r="E1" s="11" t="s">
        <v>31</v>
      </c>
      <c r="F1" s="11" t="s">
        <v>426</v>
      </c>
      <c r="G1" s="11" t="s">
        <v>130</v>
      </c>
      <c r="H1" s="11" t="s">
        <v>427</v>
      </c>
    </row>
    <row r="2" spans="1:8" x14ac:dyDescent="0.25">
      <c r="A2">
        <v>1</v>
      </c>
      <c r="B2" t="s">
        <v>40</v>
      </c>
      <c r="C2">
        <f>Actividades!C2</f>
        <v>21</v>
      </c>
      <c r="D2" s="4">
        <f ca="1">Actividades!D2</f>
        <v>99.999999999999972</v>
      </c>
      <c r="E2" s="4">
        <f>Actividades!E2</f>
        <v>57.599999999999987</v>
      </c>
      <c r="F2" s="73">
        <f>Actividades!F2</f>
        <v>5.7599999999999989</v>
      </c>
      <c r="G2">
        <f>Actividades!G2</f>
        <v>10</v>
      </c>
      <c r="H2" s="73">
        <f ca="1">D2*G2/100</f>
        <v>9.9999999999999982</v>
      </c>
    </row>
    <row r="3" spans="1:8" x14ac:dyDescent="0.25">
      <c r="A3">
        <v>2</v>
      </c>
      <c r="B3" t="s">
        <v>199</v>
      </c>
      <c r="C3">
        <f>Actividades!C3</f>
        <v>4</v>
      </c>
      <c r="D3" s="4">
        <f ca="1">Actividades!D3</f>
        <v>100</v>
      </c>
      <c r="E3" s="4">
        <f>Actividades!E3</f>
        <v>100</v>
      </c>
      <c r="F3" s="73">
        <f>Actividades!F3</f>
        <v>10</v>
      </c>
      <c r="G3">
        <f>Actividades!G3</f>
        <v>10</v>
      </c>
      <c r="H3" s="73">
        <f ca="1">D3*G3/100</f>
        <v>10</v>
      </c>
    </row>
    <row r="4" spans="1:8" x14ac:dyDescent="0.25">
      <c r="A4">
        <v>3</v>
      </c>
      <c r="B4" t="s">
        <v>200</v>
      </c>
      <c r="C4">
        <f>Actividades!C4</f>
        <v>11</v>
      </c>
      <c r="D4" s="4">
        <f ca="1">Actividades!D4</f>
        <v>100.00000000000001</v>
      </c>
      <c r="E4" s="4">
        <f>Actividades!E4</f>
        <v>27.299999999999997</v>
      </c>
      <c r="F4" s="73">
        <f>Actividades!F4</f>
        <v>2.73</v>
      </c>
      <c r="G4">
        <f>Actividades!G4</f>
        <v>10</v>
      </c>
      <c r="H4" s="73">
        <f t="shared" ref="H4:H12" ca="1" si="0">D4*G4/100</f>
        <v>10.000000000000002</v>
      </c>
    </row>
    <row r="5" spans="1:8" x14ac:dyDescent="0.25">
      <c r="A5">
        <v>4</v>
      </c>
      <c r="B5" t="s">
        <v>201</v>
      </c>
      <c r="C5">
        <f>Actividades!C5</f>
        <v>2</v>
      </c>
      <c r="D5" s="4">
        <f ca="1">Actividades!D5</f>
        <v>100</v>
      </c>
      <c r="E5" s="4">
        <f>Actividades!E5</f>
        <v>50</v>
      </c>
      <c r="F5" s="73">
        <f>Actividades!F5</f>
        <v>5</v>
      </c>
      <c r="G5">
        <f>Actividades!G5</f>
        <v>10</v>
      </c>
      <c r="H5" s="73">
        <f t="shared" ca="1" si="0"/>
        <v>10</v>
      </c>
    </row>
    <row r="6" spans="1:8" x14ac:dyDescent="0.25">
      <c r="A6">
        <v>5</v>
      </c>
      <c r="B6" t="s">
        <v>202</v>
      </c>
      <c r="C6">
        <f>[2]Actividades!C6</f>
        <v>7</v>
      </c>
      <c r="D6" s="4">
        <f ca="1">Actividades!D6</f>
        <v>100.00000000000001</v>
      </c>
      <c r="E6" s="4">
        <f>Actividades!E6</f>
        <v>28.6</v>
      </c>
      <c r="F6" s="73">
        <f>Actividades!F6</f>
        <v>2.86</v>
      </c>
      <c r="G6">
        <f>Actividades!G6</f>
        <v>10</v>
      </c>
      <c r="H6" s="73">
        <f t="shared" ca="1" si="0"/>
        <v>10.000000000000002</v>
      </c>
    </row>
    <row r="7" spans="1:8" x14ac:dyDescent="0.25">
      <c r="A7">
        <v>6</v>
      </c>
      <c r="B7" t="s">
        <v>203</v>
      </c>
      <c r="C7">
        <f>[2]Actividades!C7</f>
        <v>22</v>
      </c>
      <c r="D7" s="4">
        <f ca="1">Actividades!D7</f>
        <v>100.00000000000001</v>
      </c>
      <c r="E7" s="4">
        <f>Actividades!E7</f>
        <v>54</v>
      </c>
      <c r="F7" s="73">
        <f>Actividades!F7</f>
        <v>5.4</v>
      </c>
      <c r="G7">
        <f>Actividades!G7</f>
        <v>10</v>
      </c>
      <c r="H7" s="73">
        <f t="shared" ca="1" si="0"/>
        <v>10.000000000000002</v>
      </c>
    </row>
    <row r="8" spans="1:8" x14ac:dyDescent="0.25">
      <c r="A8">
        <v>7</v>
      </c>
      <c r="B8" t="s">
        <v>204</v>
      </c>
      <c r="C8">
        <f>[2]Actividades!C8</f>
        <v>5</v>
      </c>
      <c r="D8" s="4">
        <f ca="1">Actividades!D8</f>
        <v>100</v>
      </c>
      <c r="E8" s="4">
        <f>Actividades!E8</f>
        <v>75</v>
      </c>
      <c r="F8" s="73">
        <f>Actividades!F8</f>
        <v>3.75</v>
      </c>
      <c r="G8">
        <f>Actividades!G8</f>
        <v>5</v>
      </c>
      <c r="H8" s="73">
        <f t="shared" ca="1" si="0"/>
        <v>5</v>
      </c>
    </row>
    <row r="9" spans="1:8" x14ac:dyDescent="0.25">
      <c r="A9">
        <v>8</v>
      </c>
      <c r="B9" t="s">
        <v>205</v>
      </c>
      <c r="C9">
        <f>[2]Actividades!C9</f>
        <v>8</v>
      </c>
      <c r="D9" s="4">
        <f ca="1">Actividades!D9</f>
        <v>100.00000000000001</v>
      </c>
      <c r="E9" s="4">
        <f>Actividades!E9</f>
        <v>10</v>
      </c>
      <c r="F9" s="73">
        <f>Actividades!F9</f>
        <v>1</v>
      </c>
      <c r="G9">
        <f>Actividades!G9</f>
        <v>10</v>
      </c>
      <c r="H9" s="73">
        <f t="shared" ca="1" si="0"/>
        <v>10.000000000000002</v>
      </c>
    </row>
    <row r="10" spans="1:8" x14ac:dyDescent="0.25">
      <c r="A10">
        <v>9</v>
      </c>
      <c r="B10" t="s">
        <v>93</v>
      </c>
      <c r="C10">
        <f>[2]Actividades!C10</f>
        <v>4</v>
      </c>
      <c r="D10" s="4">
        <f ca="1">Actividades!D10</f>
        <v>100</v>
      </c>
      <c r="E10" s="4">
        <f>Actividades!E10</f>
        <v>0</v>
      </c>
      <c r="F10" s="73">
        <f>Actividades!F10</f>
        <v>0</v>
      </c>
      <c r="G10">
        <f>Actividades!G10</f>
        <v>10</v>
      </c>
      <c r="H10" s="73">
        <f t="shared" ca="1" si="0"/>
        <v>10</v>
      </c>
    </row>
    <row r="11" spans="1:8" x14ac:dyDescent="0.25">
      <c r="A11">
        <v>10</v>
      </c>
      <c r="B11" t="s">
        <v>100</v>
      </c>
      <c r="C11">
        <f>[2]Actividades!C11</f>
        <v>8</v>
      </c>
      <c r="D11" s="4">
        <f ca="1">Actividades!D11</f>
        <v>100</v>
      </c>
      <c r="E11" s="4">
        <f>Actividades!E11</f>
        <v>0</v>
      </c>
      <c r="F11" s="73">
        <f>Actividades!F11</f>
        <v>0</v>
      </c>
      <c r="G11">
        <f>Actividades!G11</f>
        <v>10</v>
      </c>
      <c r="H11" s="73">
        <f t="shared" ca="1" si="0"/>
        <v>10</v>
      </c>
    </row>
    <row r="12" spans="1:8" x14ac:dyDescent="0.25">
      <c r="A12">
        <v>11</v>
      </c>
      <c r="B12" t="s">
        <v>104</v>
      </c>
      <c r="C12">
        <f>[2]Actividades!C12</f>
        <v>12</v>
      </c>
      <c r="D12" s="4">
        <f ca="1">Actividades!D12</f>
        <v>99.999999999999986</v>
      </c>
      <c r="E12" s="4">
        <f>Actividades!E12</f>
        <v>0</v>
      </c>
      <c r="F12" s="73">
        <f>Actividades!F12</f>
        <v>0</v>
      </c>
      <c r="G12">
        <f>Actividades!G12</f>
        <v>5</v>
      </c>
      <c r="H12" s="73">
        <f t="shared" ca="1" si="0"/>
        <v>4.9999999999999991</v>
      </c>
    </row>
    <row r="14" spans="1:8" x14ac:dyDescent="0.25">
      <c r="B14" t="s">
        <v>428</v>
      </c>
      <c r="C14">
        <f t="shared" ref="C14:H14" si="1">SUM(C2:C12)</f>
        <v>104</v>
      </c>
      <c r="D14">
        <f t="shared" ca="1" si="1"/>
        <v>1100</v>
      </c>
      <c r="E14">
        <f t="shared" si="1"/>
        <v>402.5</v>
      </c>
      <c r="F14">
        <f t="shared" si="1"/>
        <v>36.5</v>
      </c>
      <c r="G14">
        <f t="shared" si="1"/>
        <v>100</v>
      </c>
      <c r="H14">
        <f t="shared" ca="1" si="1"/>
        <v>100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DB17B-CB5A-4447-80E9-1A05A9D836DD}">
  <dimension ref="A1:Q163"/>
  <sheetViews>
    <sheetView topLeftCell="A6" zoomScale="70" zoomScaleNormal="70" workbookViewId="0">
      <selection activeCell="C33" sqref="C33"/>
    </sheetView>
  </sheetViews>
  <sheetFormatPr baseColWidth="10" defaultColWidth="11.42578125" defaultRowHeight="15.75" x14ac:dyDescent="0.25"/>
  <cols>
    <col min="1" max="1" width="2" style="312" customWidth="1"/>
    <col min="2" max="2" width="10.42578125" style="346" customWidth="1"/>
    <col min="3" max="3" width="13.85546875" style="346" customWidth="1"/>
    <col min="4" max="4" width="15.5703125" style="346" bestFit="1" customWidth="1"/>
    <col min="5" max="5" width="14.5703125" style="346" customWidth="1"/>
    <col min="6" max="6" width="13.5703125" style="312" customWidth="1"/>
    <col min="7" max="7" width="54" style="386" customWidth="1"/>
    <col min="8" max="8" width="10.140625" style="386" customWidth="1"/>
    <col min="9" max="9" width="8.5703125" style="312" customWidth="1"/>
    <col min="10" max="10" width="8.5703125" style="387" customWidth="1"/>
    <col min="11" max="11" width="15.5703125" style="312" customWidth="1"/>
    <col min="12" max="12" width="16.5703125" style="388" customWidth="1"/>
    <col min="13" max="13" width="17.85546875" style="312" customWidth="1"/>
    <col min="14" max="14" width="49.7109375" style="312" customWidth="1"/>
    <col min="15" max="15" width="32.42578125" style="312" customWidth="1"/>
    <col min="16" max="16" width="12.5703125" style="352" customWidth="1"/>
    <col min="17" max="16384" width="11.42578125" style="312"/>
  </cols>
  <sheetData>
    <row r="1" spans="1:17" s="304" customFormat="1" ht="15.75" customHeight="1" thickTop="1" thickBot="1" x14ac:dyDescent="0.3">
      <c r="A1" s="477"/>
      <c r="B1" s="478"/>
      <c r="C1" s="478"/>
      <c r="D1" s="478"/>
      <c r="E1" s="478"/>
      <c r="F1" s="301"/>
      <c r="G1" s="483" t="s">
        <v>1501</v>
      </c>
      <c r="H1" s="483"/>
      <c r="I1" s="483"/>
      <c r="J1" s="483"/>
      <c r="K1" s="483"/>
      <c r="L1" s="483"/>
      <c r="M1" s="483"/>
      <c r="N1" s="483"/>
      <c r="O1" s="302"/>
      <c r="P1" s="303"/>
    </row>
    <row r="2" spans="1:17" s="304" customFormat="1" ht="15" customHeight="1" thickTop="1" thickBot="1" x14ac:dyDescent="0.3">
      <c r="A2" s="479"/>
      <c r="B2" s="480"/>
      <c r="C2" s="480"/>
      <c r="D2" s="480"/>
      <c r="E2" s="480"/>
      <c r="F2" s="305"/>
      <c r="G2" s="483"/>
      <c r="H2" s="483"/>
      <c r="I2" s="483"/>
      <c r="J2" s="483"/>
      <c r="K2" s="483"/>
      <c r="L2" s="483"/>
      <c r="M2" s="483"/>
      <c r="N2" s="483"/>
      <c r="O2" s="303"/>
      <c r="P2" s="303"/>
    </row>
    <row r="3" spans="1:17" s="304" customFormat="1" ht="15" customHeight="1" thickTop="1" thickBot="1" x14ac:dyDescent="0.3">
      <c r="A3" s="479"/>
      <c r="B3" s="480"/>
      <c r="C3" s="480"/>
      <c r="D3" s="480"/>
      <c r="E3" s="480"/>
      <c r="F3" s="305"/>
      <c r="G3" s="483"/>
      <c r="H3" s="483"/>
      <c r="I3" s="483"/>
      <c r="J3" s="483"/>
      <c r="K3" s="483"/>
      <c r="L3" s="483"/>
      <c r="M3" s="483"/>
      <c r="N3" s="483"/>
      <c r="O3" s="303"/>
      <c r="P3" s="303"/>
    </row>
    <row r="4" spans="1:17" s="304" customFormat="1" ht="16.5" thickTop="1" thickBot="1" x14ac:dyDescent="0.3">
      <c r="A4" s="479"/>
      <c r="B4" s="480"/>
      <c r="C4" s="480"/>
      <c r="D4" s="480"/>
      <c r="E4" s="480"/>
      <c r="F4" s="306" t="s">
        <v>464</v>
      </c>
      <c r="G4" s="307" t="s">
        <v>471</v>
      </c>
      <c r="H4" s="307"/>
      <c r="I4" s="307"/>
      <c r="J4" s="307"/>
      <c r="K4" s="307"/>
      <c r="L4" s="308"/>
      <c r="M4" s="303"/>
      <c r="N4" s="303"/>
      <c r="O4" s="303"/>
      <c r="P4" s="303"/>
    </row>
    <row r="5" spans="1:17" s="304" customFormat="1" ht="17.25" thickTop="1" thickBot="1" x14ac:dyDescent="0.3">
      <c r="A5" s="481"/>
      <c r="B5" s="482"/>
      <c r="C5" s="482"/>
      <c r="D5" s="482"/>
      <c r="E5" s="482"/>
      <c r="F5" s="309" t="s">
        <v>465</v>
      </c>
      <c r="G5" s="309" t="s">
        <v>520</v>
      </c>
      <c r="H5" s="309"/>
      <c r="I5" s="310"/>
      <c r="J5" s="310"/>
      <c r="K5" s="303"/>
      <c r="L5" s="311"/>
      <c r="M5" s="303"/>
      <c r="N5" s="303"/>
      <c r="O5" s="303"/>
      <c r="P5" s="303"/>
    </row>
    <row r="6" spans="1:17" ht="18" thickTop="1" x14ac:dyDescent="0.25">
      <c r="B6" s="313"/>
      <c r="C6" s="313"/>
      <c r="D6" s="313"/>
      <c r="E6" s="313"/>
      <c r="F6" s="313"/>
      <c r="G6" s="313"/>
      <c r="H6" s="313"/>
      <c r="I6" s="313"/>
      <c r="J6" s="313"/>
      <c r="K6" s="313"/>
      <c r="L6" s="313"/>
      <c r="M6" s="313"/>
      <c r="N6" s="313"/>
      <c r="O6" s="313"/>
      <c r="P6" s="314"/>
    </row>
    <row r="7" spans="1:17" ht="19.5" customHeight="1" x14ac:dyDescent="0.25">
      <c r="B7" s="484" t="s">
        <v>488</v>
      </c>
      <c r="C7" s="485"/>
      <c r="D7" s="485"/>
      <c r="E7" s="485"/>
      <c r="F7" s="485"/>
      <c r="G7" s="315">
        <v>44819</v>
      </c>
      <c r="H7" s="316"/>
      <c r="I7" s="69"/>
      <c r="J7" s="75"/>
      <c r="K7" s="75"/>
      <c r="L7" s="317"/>
      <c r="M7" s="318"/>
      <c r="N7" s="319" t="s">
        <v>302</v>
      </c>
      <c r="O7" s="486" t="s">
        <v>303</v>
      </c>
      <c r="P7" s="486"/>
      <c r="Q7" s="320"/>
    </row>
    <row r="8" spans="1:17" ht="22.5" customHeight="1" x14ac:dyDescent="0.25">
      <c r="B8" s="487" t="s">
        <v>305</v>
      </c>
      <c r="C8" s="488"/>
      <c r="D8" s="488"/>
      <c r="E8" s="488"/>
      <c r="F8" s="488"/>
      <c r="G8" s="321" t="s">
        <v>349</v>
      </c>
      <c r="H8" s="322"/>
      <c r="I8" s="78"/>
      <c r="J8" s="79"/>
      <c r="K8" s="79"/>
      <c r="L8" s="489" t="str">
        <f>G17</f>
        <v>REPUESTOS HIDRAULICOS</v>
      </c>
      <c r="M8" s="490"/>
      <c r="N8" s="323">
        <f>M17*0.5</f>
        <v>0</v>
      </c>
      <c r="O8" s="324">
        <f ca="1">P17*0.5</f>
        <v>0.5</v>
      </c>
      <c r="P8" s="325" t="s">
        <v>304</v>
      </c>
      <c r="Q8" s="326"/>
    </row>
    <row r="9" spans="1:17" ht="25.5" customHeight="1" x14ac:dyDescent="0.25">
      <c r="B9" s="487" t="s">
        <v>306</v>
      </c>
      <c r="C9" s="488"/>
      <c r="D9" s="488"/>
      <c r="E9" s="488"/>
      <c r="F9" s="488" t="s">
        <v>452</v>
      </c>
      <c r="G9" s="327"/>
      <c r="H9" s="328"/>
      <c r="I9" s="78"/>
      <c r="J9" s="79"/>
      <c r="K9" s="79"/>
      <c r="L9" s="489"/>
      <c r="M9" s="490"/>
      <c r="N9" s="329"/>
      <c r="O9" s="330"/>
      <c r="P9" s="331" t="s">
        <v>304</v>
      </c>
    </row>
    <row r="10" spans="1:17" ht="24" customHeight="1" x14ac:dyDescent="0.25">
      <c r="B10" s="487" t="s">
        <v>307</v>
      </c>
      <c r="C10" s="488"/>
      <c r="D10" s="488"/>
      <c r="E10" s="488"/>
      <c r="F10" s="488" t="s">
        <v>433</v>
      </c>
      <c r="G10" s="327"/>
      <c r="H10" s="332"/>
      <c r="I10" s="78"/>
      <c r="J10" s="79"/>
      <c r="K10" s="79"/>
      <c r="L10" s="491"/>
      <c r="M10" s="490"/>
      <c r="N10" s="329"/>
      <c r="O10" s="330"/>
      <c r="P10" s="331"/>
    </row>
    <row r="11" spans="1:17" ht="18.75" x14ac:dyDescent="0.25">
      <c r="B11" s="487" t="s">
        <v>308</v>
      </c>
      <c r="C11" s="488"/>
      <c r="D11" s="488"/>
      <c r="E11" s="488"/>
      <c r="F11" s="488" t="s">
        <v>451</v>
      </c>
      <c r="G11" s="327" t="str">
        <f>'[3]MATRIZ REPUESTOS MECANICOS'!G11</f>
        <v xml:space="preserve">MANTENCION SEMESTRAL FILTRO PRENSA </v>
      </c>
      <c r="H11" s="332"/>
      <c r="I11" s="78"/>
      <c r="J11" s="79"/>
      <c r="K11" s="79"/>
      <c r="L11" s="491"/>
      <c r="M11" s="490"/>
      <c r="N11" s="329"/>
      <c r="O11" s="330"/>
      <c r="P11" s="331"/>
    </row>
    <row r="12" spans="1:17" ht="19.5" thickBot="1" x14ac:dyDescent="0.3">
      <c r="B12" s="487" t="s">
        <v>309</v>
      </c>
      <c r="C12" s="488"/>
      <c r="D12" s="488"/>
      <c r="E12" s="488"/>
      <c r="F12" s="488">
        <f ca="1">TODAY()</f>
        <v>46163</v>
      </c>
      <c r="G12" s="333">
        <f ca="1">TODAY()</f>
        <v>46163</v>
      </c>
      <c r="H12" s="332"/>
      <c r="I12" s="78"/>
      <c r="J12" s="79"/>
      <c r="K12" s="79"/>
      <c r="L12" s="491"/>
      <c r="M12" s="490"/>
      <c r="N12" s="334"/>
      <c r="O12" s="335"/>
      <c r="P12" s="336"/>
    </row>
    <row r="13" spans="1:17" ht="18.75" x14ac:dyDescent="0.25">
      <c r="B13" s="487" t="s">
        <v>430</v>
      </c>
      <c r="C13" s="488"/>
      <c r="D13" s="488"/>
      <c r="E13" s="488"/>
      <c r="F13" s="488" t="e">
        <f>[4]!HAZOP[Codigo]</f>
        <v>#REF!</v>
      </c>
      <c r="G13" s="337"/>
      <c r="H13" s="338"/>
      <c r="I13" s="78"/>
      <c r="J13" s="79"/>
      <c r="K13" s="79"/>
      <c r="L13" s="339"/>
      <c r="M13" s="340"/>
      <c r="N13" s="341"/>
      <c r="O13" s="341"/>
      <c r="P13" s="326"/>
    </row>
    <row r="14" spans="1:17" ht="18.75" x14ac:dyDescent="0.3">
      <c r="B14" s="342"/>
      <c r="C14" s="342"/>
      <c r="D14" s="342"/>
      <c r="E14" s="342"/>
      <c r="F14" s="342"/>
      <c r="G14" s="343"/>
      <c r="H14" s="338"/>
      <c r="I14" s="78"/>
      <c r="J14" s="79"/>
      <c r="K14" s="79"/>
      <c r="L14" s="344" t="s">
        <v>310</v>
      </c>
      <c r="M14" s="344"/>
      <c r="N14" s="200">
        <f>SUM(N8:N12)</f>
        <v>0</v>
      </c>
      <c r="O14" s="201">
        <f ca="1">SUM(O8:O12)</f>
        <v>0.5</v>
      </c>
      <c r="P14" s="345" t="s">
        <v>304</v>
      </c>
    </row>
    <row r="15" spans="1:17" ht="17.25" x14ac:dyDescent="0.25">
      <c r="F15" s="347"/>
      <c r="G15" s="348"/>
      <c r="H15" s="348"/>
      <c r="I15" s="69"/>
      <c r="J15" s="75"/>
      <c r="K15" s="349"/>
      <c r="L15" s="350"/>
      <c r="M15" s="351"/>
      <c r="N15" s="351"/>
      <c r="O15" s="326"/>
    </row>
    <row r="16" spans="1:17" ht="37.5" x14ac:dyDescent="0.25">
      <c r="B16" s="353" t="s">
        <v>0</v>
      </c>
      <c r="C16" s="354" t="s">
        <v>335</v>
      </c>
      <c r="D16" s="354" t="s">
        <v>320</v>
      </c>
      <c r="E16" s="354" t="s">
        <v>319</v>
      </c>
      <c r="F16" s="354" t="s">
        <v>490</v>
      </c>
      <c r="G16" s="355" t="s">
        <v>450</v>
      </c>
      <c r="H16" s="356" t="s">
        <v>333</v>
      </c>
      <c r="I16" s="356" t="s">
        <v>311</v>
      </c>
      <c r="J16" s="356" t="s">
        <v>312</v>
      </c>
      <c r="K16" s="356" t="s">
        <v>313</v>
      </c>
      <c r="L16" s="356" t="s">
        <v>314</v>
      </c>
      <c r="M16" s="357" t="s">
        <v>315</v>
      </c>
      <c r="N16" s="356" t="s">
        <v>316</v>
      </c>
      <c r="O16" s="356" t="s">
        <v>317</v>
      </c>
      <c r="P16" s="356" t="s">
        <v>318</v>
      </c>
    </row>
    <row r="17" spans="2:16" ht="33" customHeight="1" x14ac:dyDescent="0.25">
      <c r="B17" s="257">
        <v>1</v>
      </c>
      <c r="C17" s="389" t="s">
        <v>335</v>
      </c>
      <c r="D17" s="390" t="s">
        <v>320</v>
      </c>
      <c r="E17" s="389" t="s">
        <v>319</v>
      </c>
      <c r="F17" s="390" t="s">
        <v>490</v>
      </c>
      <c r="G17" s="389" t="s">
        <v>438</v>
      </c>
      <c r="H17" s="358" t="s">
        <v>333</v>
      </c>
      <c r="I17" s="258">
        <f>SUM(I23:I30)</f>
        <v>1</v>
      </c>
      <c r="J17" s="358" t="s">
        <v>299</v>
      </c>
      <c r="K17" s="358" t="s">
        <v>339</v>
      </c>
      <c r="L17" s="258">
        <f>AVERAGE(L23:L30)</f>
        <v>0</v>
      </c>
      <c r="M17" s="258">
        <f>SUM(M23:M30)</f>
        <v>0</v>
      </c>
      <c r="N17" s="358" t="s">
        <v>340</v>
      </c>
      <c r="O17" s="358" t="s">
        <v>321</v>
      </c>
      <c r="P17" s="258">
        <f ca="1">SUM(P23:P30)</f>
        <v>1</v>
      </c>
    </row>
    <row r="18" spans="2:16" x14ac:dyDescent="0.25">
      <c r="B18" s="391" t="s">
        <v>322</v>
      </c>
      <c r="C18" s="362">
        <v>55442</v>
      </c>
      <c r="D18" s="362">
        <f>IFERROR(VLOOKUP(C18,Tabla_APL[[STOCKCODE]:[TYPE]],3,FALSE),"")</f>
        <v>6</v>
      </c>
      <c r="E18" s="362">
        <f>[5]Repuestos!F37</f>
        <v>1</v>
      </c>
      <c r="F18" s="363">
        <f t="shared" ref="F18:F31" si="0">D18-E18</f>
        <v>5</v>
      </c>
      <c r="G18" s="364" t="s">
        <v>423</v>
      </c>
      <c r="H18" s="182">
        <v>0</v>
      </c>
      <c r="I18" s="365">
        <f>IF(H18=1,1/SUM(H$18:H$22),0)</f>
        <v>0</v>
      </c>
      <c r="J18" s="366">
        <v>40</v>
      </c>
      <c r="K18" s="367">
        <f>'[3]MATRIZ REPUESTOS ELEC. INSTRU.'!$G$7-J18</f>
        <v>44779</v>
      </c>
      <c r="L18" s="368">
        <v>0</v>
      </c>
      <c r="M18" s="369">
        <f>I18*L18</f>
        <v>0</v>
      </c>
      <c r="N18" s="370"/>
      <c r="O18" s="371"/>
      <c r="P18" s="372">
        <f ca="1">(IF(K18&lt;=TODAY(),1,0))*I18</f>
        <v>0</v>
      </c>
    </row>
    <row r="19" spans="2:16" x14ac:dyDescent="0.25">
      <c r="B19" s="391" t="s">
        <v>323</v>
      </c>
      <c r="C19" s="374">
        <v>16584</v>
      </c>
      <c r="D19" s="362">
        <f>IFERROR(VLOOKUP(C19,Tabla_APL[[STOCKCODE]:[TYPE]],3,FALSE),"")</f>
        <v>6</v>
      </c>
      <c r="E19" s="375">
        <f>[5]Repuestos!F38</f>
        <v>5</v>
      </c>
      <c r="F19" s="376">
        <f t="shared" si="0"/>
        <v>1</v>
      </c>
      <c r="G19" s="377" t="s">
        <v>1220</v>
      </c>
      <c r="H19" s="182">
        <v>0</v>
      </c>
      <c r="I19" s="378">
        <f>IF(H19=1,1/SUM(H$18:H$22),0)</f>
        <v>0</v>
      </c>
      <c r="J19" s="379">
        <v>40</v>
      </c>
      <c r="K19" s="380">
        <f>'[3]MATRIZ REPUESTOS ELEC. INSTRU.'!$G$7-J19</f>
        <v>44779</v>
      </c>
      <c r="L19" s="368">
        <v>0</v>
      </c>
      <c r="M19" s="381">
        <f>I19*L19</f>
        <v>0</v>
      </c>
      <c r="N19" s="382"/>
      <c r="O19" s="379"/>
      <c r="P19" s="378">
        <f ca="1">(IF(K19&lt;=TODAY(),1,0))*I19</f>
        <v>0</v>
      </c>
    </row>
    <row r="20" spans="2:16" x14ac:dyDescent="0.25">
      <c r="B20" s="391" t="s">
        <v>324</v>
      </c>
      <c r="C20" s="362">
        <v>300798</v>
      </c>
      <c r="D20" s="362">
        <f>IFERROR(VLOOKUP(C20,Tabla_APL[[STOCKCODE]:[TYPE]],3,FALSE),"")</f>
        <v>5</v>
      </c>
      <c r="E20" s="362">
        <f>[5]Repuestos!F39</f>
        <v>5</v>
      </c>
      <c r="F20" s="363">
        <f t="shared" si="0"/>
        <v>0</v>
      </c>
      <c r="G20" s="364" t="s">
        <v>1502</v>
      </c>
      <c r="H20" s="182">
        <v>0</v>
      </c>
      <c r="I20" s="365">
        <f>IF(H20=1,1/SUM(H$18:H$22),0)</f>
        <v>0</v>
      </c>
      <c r="J20" s="366">
        <v>40</v>
      </c>
      <c r="K20" s="367">
        <f>'[3]MATRIZ REPUESTOS ELEC. INSTRU.'!$G$7-J20</f>
        <v>44779</v>
      </c>
      <c r="L20" s="368">
        <v>0</v>
      </c>
      <c r="M20" s="369">
        <f>I20*L20</f>
        <v>0</v>
      </c>
      <c r="N20" s="370" t="s">
        <v>1600</v>
      </c>
      <c r="O20" s="371"/>
      <c r="P20" s="372">
        <f ca="1">(IF(K20&lt;=TODAY(),1,0))*I20</f>
        <v>0</v>
      </c>
    </row>
    <row r="21" spans="2:16" x14ac:dyDescent="0.25">
      <c r="B21" s="391" t="s">
        <v>325</v>
      </c>
      <c r="C21" s="374">
        <v>300780</v>
      </c>
      <c r="D21" s="362">
        <f>IFERROR(VLOOKUP(C21,Tabla_APL[[STOCKCODE]:[TYPE]],3,FALSE),"")</f>
        <v>15</v>
      </c>
      <c r="E21" s="375">
        <f>[5]Repuestos!F40</f>
        <v>5</v>
      </c>
      <c r="F21" s="376">
        <f t="shared" si="0"/>
        <v>10</v>
      </c>
      <c r="G21" s="377" t="s">
        <v>1503</v>
      </c>
      <c r="H21" s="182">
        <v>1</v>
      </c>
      <c r="I21" s="378">
        <f>IF(H21=1,1/SUM(H$18:H$22),0)</f>
        <v>1</v>
      </c>
      <c r="J21" s="379">
        <v>40</v>
      </c>
      <c r="K21" s="380">
        <f>'[3]MATRIZ REPUESTOS ELEC. INSTRU.'!$G$7-J21</f>
        <v>44779</v>
      </c>
      <c r="L21" s="368">
        <v>0</v>
      </c>
      <c r="M21" s="381">
        <f>I21*L21</f>
        <v>0</v>
      </c>
      <c r="N21" s="370" t="s">
        <v>1600</v>
      </c>
      <c r="O21" s="379"/>
      <c r="P21" s="378">
        <f ca="1">(IF(K21&lt;=TODAY(),1,0))*I21</f>
        <v>1</v>
      </c>
    </row>
    <row r="22" spans="2:16" x14ac:dyDescent="0.25">
      <c r="B22" s="391" t="s">
        <v>326</v>
      </c>
      <c r="C22" s="362">
        <v>744049</v>
      </c>
      <c r="D22" s="362">
        <f>IFERROR(VLOOKUP(C22,Tabla_APL[[STOCKCODE]:[TYPE]],3,FALSE),"")</f>
        <v>56</v>
      </c>
      <c r="E22" s="362">
        <f>[5]Repuestos!F41</f>
        <v>2</v>
      </c>
      <c r="F22" s="363">
        <f t="shared" si="0"/>
        <v>54</v>
      </c>
      <c r="G22" s="364" t="s">
        <v>1504</v>
      </c>
      <c r="H22" s="182">
        <v>0</v>
      </c>
      <c r="I22" s="365">
        <f>IF(H22=1,1/SUM(H$18:H$22),0)</f>
        <v>0</v>
      </c>
      <c r="J22" s="366">
        <v>40</v>
      </c>
      <c r="K22" s="367">
        <f>'[3]MATRIZ REPUESTOS ELEC. INSTRU.'!$G$7-J22</f>
        <v>44779</v>
      </c>
      <c r="L22" s="368">
        <v>0</v>
      </c>
      <c r="M22" s="369">
        <f>I22*L22</f>
        <v>0</v>
      </c>
      <c r="N22" s="370"/>
      <c r="O22" s="371"/>
      <c r="P22" s="372">
        <f ca="1">(IF(K22&lt;=TODAY(),1,0))*I22</f>
        <v>0</v>
      </c>
    </row>
    <row r="23" spans="2:16" x14ac:dyDescent="0.25">
      <c r="B23" s="391" t="s">
        <v>328</v>
      </c>
      <c r="C23" s="444">
        <v>758539</v>
      </c>
      <c r="D23" s="362">
        <f>IFERROR(VLOOKUP(C23,Tabla_APL[[STOCKCODE]:[TYPE]],3,FALSE),"")</f>
        <v>0</v>
      </c>
      <c r="E23" s="375">
        <v>4</v>
      </c>
      <c r="F23" s="376">
        <f t="shared" si="0"/>
        <v>-4</v>
      </c>
      <c r="G23" s="377" t="s">
        <v>1596</v>
      </c>
      <c r="H23" s="182">
        <v>0</v>
      </c>
      <c r="I23" s="378">
        <f t="shared" ref="I23:I32" si="1">IF(H23=1,1/SUM(H$23:H$30),0)</f>
        <v>0</v>
      </c>
      <c r="J23" s="379">
        <v>40</v>
      </c>
      <c r="K23" s="380">
        <f t="shared" ref="K23:K31" si="2">$G$7-J23</f>
        <v>44779</v>
      </c>
      <c r="L23" s="368">
        <v>0</v>
      </c>
      <c r="M23" s="381">
        <f t="shared" ref="M23:M31" si="3">I23*L23</f>
        <v>0</v>
      </c>
      <c r="N23" s="400"/>
      <c r="O23" s="379"/>
      <c r="P23" s="378">
        <f t="shared" ref="P23:P31" ca="1" si="4">(IF(K23&lt;=TODAY(),1,0))*I23</f>
        <v>0</v>
      </c>
    </row>
    <row r="24" spans="2:16" x14ac:dyDescent="0.25">
      <c r="B24" s="391" t="s">
        <v>330</v>
      </c>
      <c r="C24" s="374">
        <v>395343</v>
      </c>
      <c r="D24" s="362">
        <f>IFERROR(VLOOKUP(C24,Tabla_APL[[STOCKCODE]:[TYPE]],3,FALSE),"")</f>
        <v>0</v>
      </c>
      <c r="E24" s="375">
        <v>1</v>
      </c>
      <c r="F24" s="376">
        <f t="shared" si="0"/>
        <v>-1</v>
      </c>
      <c r="G24" s="377" t="s">
        <v>1222</v>
      </c>
      <c r="H24" s="182">
        <v>0</v>
      </c>
      <c r="I24" s="378">
        <f t="shared" si="1"/>
        <v>0</v>
      </c>
      <c r="J24" s="379">
        <v>40</v>
      </c>
      <c r="K24" s="380">
        <f t="shared" si="2"/>
        <v>44779</v>
      </c>
      <c r="L24" s="368">
        <v>0</v>
      </c>
      <c r="M24" s="381">
        <f t="shared" si="3"/>
        <v>0</v>
      </c>
      <c r="N24" s="400"/>
      <c r="O24" s="379"/>
      <c r="P24" s="378">
        <f t="shared" ca="1" si="4"/>
        <v>0</v>
      </c>
    </row>
    <row r="25" spans="2:16" x14ac:dyDescent="0.25">
      <c r="B25" s="391" t="s">
        <v>331</v>
      </c>
      <c r="C25" s="392">
        <v>395350</v>
      </c>
      <c r="D25" s="362">
        <f>IFERROR(VLOOKUP(C25,Tabla_APL[[STOCKCODE]:[TYPE]],3,FALSE),"")</f>
        <v>0</v>
      </c>
      <c r="E25" s="393">
        <v>1</v>
      </c>
      <c r="F25" s="363">
        <f t="shared" si="0"/>
        <v>-1</v>
      </c>
      <c r="G25" s="394" t="s">
        <v>1222</v>
      </c>
      <c r="H25" s="182">
        <v>0</v>
      </c>
      <c r="I25" s="395">
        <f t="shared" si="1"/>
        <v>0</v>
      </c>
      <c r="J25" s="396">
        <v>40</v>
      </c>
      <c r="K25" s="367">
        <f t="shared" si="2"/>
        <v>44779</v>
      </c>
      <c r="L25" s="368">
        <v>0</v>
      </c>
      <c r="M25" s="398">
        <f t="shared" si="3"/>
        <v>0</v>
      </c>
      <c r="N25" s="399"/>
      <c r="O25" s="396"/>
      <c r="P25" s="395">
        <f t="shared" ca="1" si="4"/>
        <v>0</v>
      </c>
    </row>
    <row r="26" spans="2:16" x14ac:dyDescent="0.25">
      <c r="B26" s="391" t="s">
        <v>332</v>
      </c>
      <c r="C26" s="374">
        <v>395368</v>
      </c>
      <c r="D26" s="362">
        <f>IFERROR(VLOOKUP(C26,Tabla_APL[[STOCKCODE]:[TYPE]],3,FALSE),"")</f>
        <v>0</v>
      </c>
      <c r="E26" s="375">
        <v>1</v>
      </c>
      <c r="F26" s="376">
        <f t="shared" si="0"/>
        <v>-1</v>
      </c>
      <c r="G26" s="377" t="s">
        <v>1223</v>
      </c>
      <c r="H26" s="182">
        <v>0</v>
      </c>
      <c r="I26" s="378">
        <f t="shared" si="1"/>
        <v>0</v>
      </c>
      <c r="J26" s="379">
        <v>40</v>
      </c>
      <c r="K26" s="380">
        <f t="shared" si="2"/>
        <v>44779</v>
      </c>
      <c r="L26" s="368">
        <v>0</v>
      </c>
      <c r="M26" s="381">
        <f t="shared" si="3"/>
        <v>0</v>
      </c>
      <c r="N26" s="400"/>
      <c r="O26" s="379"/>
      <c r="P26" s="378">
        <f t="shared" ca="1" si="4"/>
        <v>0</v>
      </c>
    </row>
    <row r="27" spans="2:16" x14ac:dyDescent="0.25">
      <c r="B27" s="391" t="s">
        <v>516</v>
      </c>
      <c r="C27" s="392">
        <v>395376</v>
      </c>
      <c r="D27" s="362">
        <f>IFERROR(VLOOKUP(C27,Tabla_APL[[STOCKCODE]:[TYPE]],3,FALSE),"")</f>
        <v>0</v>
      </c>
      <c r="E27" s="393">
        <v>1</v>
      </c>
      <c r="F27" s="363">
        <f t="shared" si="0"/>
        <v>-1</v>
      </c>
      <c r="G27" s="394" t="s">
        <v>1223</v>
      </c>
      <c r="H27" s="182">
        <v>0</v>
      </c>
      <c r="I27" s="395">
        <f t="shared" si="1"/>
        <v>0</v>
      </c>
      <c r="J27" s="396">
        <v>40</v>
      </c>
      <c r="K27" s="367">
        <f t="shared" si="2"/>
        <v>44779</v>
      </c>
      <c r="L27" s="368">
        <v>0</v>
      </c>
      <c r="M27" s="398">
        <f t="shared" si="3"/>
        <v>0</v>
      </c>
      <c r="N27" s="399"/>
      <c r="O27" s="396"/>
      <c r="P27" s="395">
        <f t="shared" ca="1" si="4"/>
        <v>0</v>
      </c>
    </row>
    <row r="28" spans="2:16" x14ac:dyDescent="0.25">
      <c r="B28" s="391" t="s">
        <v>517</v>
      </c>
      <c r="C28" s="374">
        <v>395384</v>
      </c>
      <c r="D28" s="362">
        <f>IFERROR(VLOOKUP(C28,Tabla_APL[[STOCKCODE]:[TYPE]],3,FALSE),"")</f>
        <v>0</v>
      </c>
      <c r="E28" s="375">
        <v>1</v>
      </c>
      <c r="F28" s="376">
        <f t="shared" si="0"/>
        <v>-1</v>
      </c>
      <c r="G28" s="377" t="s">
        <v>1223</v>
      </c>
      <c r="H28" s="182">
        <v>0</v>
      </c>
      <c r="I28" s="378">
        <f t="shared" si="1"/>
        <v>0</v>
      </c>
      <c r="J28" s="379">
        <v>40</v>
      </c>
      <c r="K28" s="380">
        <f t="shared" si="2"/>
        <v>44779</v>
      </c>
      <c r="L28" s="368">
        <v>0</v>
      </c>
      <c r="M28" s="381">
        <f t="shared" si="3"/>
        <v>0</v>
      </c>
      <c r="N28" s="400"/>
      <c r="O28" s="379"/>
      <c r="P28" s="378">
        <f t="shared" ca="1" si="4"/>
        <v>0</v>
      </c>
    </row>
    <row r="29" spans="2:16" x14ac:dyDescent="0.25">
      <c r="B29" s="391" t="s">
        <v>1505</v>
      </c>
      <c r="C29" s="392">
        <v>128603</v>
      </c>
      <c r="D29" s="362">
        <f>IFERROR(VLOOKUP(C29,Tabla_APL[[STOCKCODE]:[TYPE]],3,FALSE),"")</f>
        <v>1</v>
      </c>
      <c r="E29" s="393">
        <v>1</v>
      </c>
      <c r="F29" s="363">
        <f t="shared" si="0"/>
        <v>0</v>
      </c>
      <c r="G29" s="394" t="s">
        <v>1269</v>
      </c>
      <c r="H29" s="182">
        <v>1</v>
      </c>
      <c r="I29" s="395">
        <f t="shared" si="1"/>
        <v>0.5</v>
      </c>
      <c r="J29" s="396">
        <v>40</v>
      </c>
      <c r="K29" s="367">
        <f t="shared" si="2"/>
        <v>44779</v>
      </c>
      <c r="L29" s="368">
        <v>0</v>
      </c>
      <c r="M29" s="398">
        <f t="shared" si="3"/>
        <v>0</v>
      </c>
      <c r="N29" s="399"/>
      <c r="O29" s="396"/>
      <c r="P29" s="395">
        <f t="shared" ca="1" si="4"/>
        <v>0.5</v>
      </c>
    </row>
    <row r="30" spans="2:16" x14ac:dyDescent="0.25">
      <c r="B30" s="391" t="s">
        <v>1506</v>
      </c>
      <c r="C30" s="392">
        <v>166801</v>
      </c>
      <c r="D30" s="362">
        <f>IFERROR(VLOOKUP(C30,Tabla_APL[[STOCKCODE]:[TYPE]],3,FALSE),"")</f>
        <v>34</v>
      </c>
      <c r="E30" s="393">
        <v>6</v>
      </c>
      <c r="F30" s="363">
        <f t="shared" si="0"/>
        <v>28</v>
      </c>
      <c r="G30" s="394" t="s">
        <v>1225</v>
      </c>
      <c r="H30" s="182">
        <v>1</v>
      </c>
      <c r="I30" s="378">
        <f t="shared" si="1"/>
        <v>0.5</v>
      </c>
      <c r="J30" s="379">
        <v>40</v>
      </c>
      <c r="K30" s="380">
        <f t="shared" si="2"/>
        <v>44779</v>
      </c>
      <c r="L30" s="368">
        <v>0</v>
      </c>
      <c r="M30" s="398">
        <f t="shared" si="3"/>
        <v>0</v>
      </c>
      <c r="N30" s="399"/>
      <c r="O30" s="396"/>
      <c r="P30" s="395">
        <f t="shared" ca="1" si="4"/>
        <v>0.5</v>
      </c>
    </row>
    <row r="31" spans="2:16" x14ac:dyDescent="0.25">
      <c r="B31" s="391" t="s">
        <v>1507</v>
      </c>
      <c r="C31" s="392">
        <v>657148</v>
      </c>
      <c r="D31" s="362">
        <f>IFERROR(VLOOKUP(C31,Tabla_APL[[STOCKCODE]:[TYPE]],3,FALSE),"")</f>
        <v>0</v>
      </c>
      <c r="E31" s="393">
        <v>4</v>
      </c>
      <c r="F31" s="363">
        <f t="shared" si="0"/>
        <v>-4</v>
      </c>
      <c r="G31" s="394" t="s">
        <v>1508</v>
      </c>
      <c r="H31" s="182">
        <v>3</v>
      </c>
      <c r="I31" s="395">
        <f t="shared" si="1"/>
        <v>0</v>
      </c>
      <c r="J31" s="396">
        <v>42</v>
      </c>
      <c r="K31" s="367">
        <f t="shared" si="2"/>
        <v>44777</v>
      </c>
      <c r="L31" s="368">
        <v>0</v>
      </c>
      <c r="M31" s="398">
        <f t="shared" si="3"/>
        <v>0</v>
      </c>
      <c r="N31" s="399" t="s">
        <v>1599</v>
      </c>
      <c r="O31" s="396"/>
      <c r="P31" s="395">
        <f t="shared" ca="1" si="4"/>
        <v>0</v>
      </c>
    </row>
    <row r="32" spans="2:16" x14ac:dyDescent="0.25">
      <c r="B32" s="391" t="s">
        <v>327</v>
      </c>
      <c r="C32" s="392">
        <v>73700</v>
      </c>
      <c r="D32" s="362">
        <f>IFERROR(VLOOKUP(C32,Tabla_APL[[STOCKCODE]:[TYPE]],3,FALSE),"")</f>
        <v>2</v>
      </c>
      <c r="E32" s="393">
        <v>0</v>
      </c>
      <c r="F32" s="363">
        <f>D32-E32</f>
        <v>2</v>
      </c>
      <c r="G32" s="394" t="s">
        <v>1218</v>
      </c>
      <c r="H32" s="259">
        <v>0</v>
      </c>
      <c r="I32" s="395">
        <f t="shared" si="1"/>
        <v>0</v>
      </c>
      <c r="J32" s="396">
        <v>40</v>
      </c>
      <c r="K32" s="367">
        <f>$G$7-J32</f>
        <v>44779</v>
      </c>
      <c r="L32" s="397">
        <v>0</v>
      </c>
      <c r="M32" s="398">
        <f>I32*L32</f>
        <v>0</v>
      </c>
      <c r="N32" s="399"/>
      <c r="O32" s="396"/>
      <c r="P32" s="395">
        <f ca="1">(IF(K32&lt;=TODAY(),1,0))*I32</f>
        <v>0</v>
      </c>
    </row>
    <row r="33" spans="3:7" x14ac:dyDescent="0.25">
      <c r="C33" s="392">
        <v>537746</v>
      </c>
      <c r="G33" s="394" t="s">
        <v>1721</v>
      </c>
    </row>
    <row r="51" ht="19.5" customHeight="1" x14ac:dyDescent="0.25"/>
    <row r="77" ht="26.1" customHeight="1" x14ac:dyDescent="0.25"/>
    <row r="89" collapsed="1" x14ac:dyDescent="0.25"/>
    <row r="122" collapsed="1" x14ac:dyDescent="0.25"/>
    <row r="142" collapsed="1" x14ac:dyDescent="0.25"/>
    <row r="153" collapsed="1" x14ac:dyDescent="0.25"/>
    <row r="163" collapsed="1" x14ac:dyDescent="0.25"/>
  </sheetData>
  <autoFilter ref="A16:R32" xr:uid="{CA8675E0-0A03-4656-9D68-39F95CF91C03}"/>
  <mergeCells count="15">
    <mergeCell ref="B12:F12"/>
    <mergeCell ref="L12:M12"/>
    <mergeCell ref="B13:F13"/>
    <mergeCell ref="B9:F9"/>
    <mergeCell ref="L9:M9"/>
    <mergeCell ref="B10:F10"/>
    <mergeCell ref="L10:M10"/>
    <mergeCell ref="B11:F11"/>
    <mergeCell ref="L11:M11"/>
    <mergeCell ref="A1:E5"/>
    <mergeCell ref="G1:N3"/>
    <mergeCell ref="B7:F7"/>
    <mergeCell ref="O7:P7"/>
    <mergeCell ref="B8:F8"/>
    <mergeCell ref="L8:M8"/>
  </mergeCells>
  <conditionalFormatting sqref="P13 O15">
    <cfRule type="expression" dxfId="78" priority="11">
      <formula>M13&lt;(N13*0.5)</formula>
    </cfRule>
    <cfRule type="expression" dxfId="77" priority="12">
      <formula>M13&gt;=(N13*0.5)</formula>
    </cfRule>
    <cfRule type="expression" dxfId="76" priority="13">
      <formula>M13&gt;(N13*0.8)</formula>
    </cfRule>
  </conditionalFormatting>
  <conditionalFormatting sqref="P8:P12">
    <cfRule type="expression" dxfId="75" priority="14">
      <formula>N8&lt;(O8*0.5)</formula>
    </cfRule>
    <cfRule type="expression" dxfId="74" priority="20">
      <formula>N8&lt;=(O8*0.8)</formula>
    </cfRule>
    <cfRule type="expression" dxfId="73" priority="21">
      <formula>N8&gt;(O8*0.8)</formula>
    </cfRule>
  </conditionalFormatting>
  <conditionalFormatting sqref="Q9:Q13">
    <cfRule type="expression" dxfId="72" priority="18" stopIfTrue="1">
      <formula>(O9-3%)&lt;=N9&lt;(O9-1%)</formula>
    </cfRule>
    <cfRule type="expression" dxfId="71" priority="19" stopIfTrue="1">
      <formula>N9&gt;=(O9-1%)</formula>
    </cfRule>
  </conditionalFormatting>
  <conditionalFormatting sqref="Q8">
    <cfRule type="expression" dxfId="70" priority="15" stopIfTrue="1">
      <formula>O8&gt;=(P8-5%)</formula>
    </cfRule>
    <cfRule type="expression" dxfId="69" priority="16" stopIfTrue="1">
      <formula>O8&lt;(P8-5%)</formula>
    </cfRule>
    <cfRule type="expression" dxfId="68" priority="17" stopIfTrue="1">
      <formula>O8&lt;(P8-10%)</formula>
    </cfRule>
  </conditionalFormatting>
  <conditionalFormatting sqref="H25">
    <cfRule type="iconSet" priority="9">
      <iconSet>
        <cfvo type="percent" val="0"/>
        <cfvo type="num" val="0"/>
        <cfvo type="num" val="1"/>
      </iconSet>
    </cfRule>
  </conditionalFormatting>
  <conditionalFormatting sqref="P14">
    <cfRule type="expression" dxfId="67" priority="6">
      <formula>N14&lt;(O14*0.5)</formula>
    </cfRule>
    <cfRule type="expression" dxfId="66" priority="7">
      <formula>N14&gt;=(O14*0.5)</formula>
    </cfRule>
    <cfRule type="expression" dxfId="65" priority="8">
      <formula>N14&gt;(O14*0.8)</formula>
    </cfRule>
  </conditionalFormatting>
  <conditionalFormatting sqref="F32 F23">
    <cfRule type="iconSet" priority="5">
      <iconSet iconSet="3Symbols">
        <cfvo type="percent" val="0"/>
        <cfvo type="num" val="0"/>
        <cfvo type="num" val="0" gte="0"/>
      </iconSet>
    </cfRule>
  </conditionalFormatting>
  <conditionalFormatting sqref="F24:F31">
    <cfRule type="iconSet" priority="24">
      <iconSet iconSet="3Symbols">
        <cfvo type="percent" val="0"/>
        <cfvo type="num" val="0"/>
        <cfvo type="num" val="0" gte="0"/>
      </iconSet>
    </cfRule>
  </conditionalFormatting>
  <conditionalFormatting sqref="F18:F22">
    <cfRule type="iconSet" priority="2">
      <iconSet iconSet="3Symbols">
        <cfvo type="percent" val="0"/>
        <cfvo type="num" val="0"/>
        <cfvo type="num" val="0" gte="0"/>
      </iconSet>
    </cfRule>
  </conditionalFormatting>
  <conditionalFormatting sqref="H18:H22">
    <cfRule type="iconSet" priority="3">
      <iconSet>
        <cfvo type="percent" val="0"/>
        <cfvo type="num" val="0"/>
        <cfvo type="num" val="1"/>
      </iconSet>
    </cfRule>
  </conditionalFormatting>
  <conditionalFormatting sqref="H30">
    <cfRule type="iconSet" priority="109">
      <iconSet>
        <cfvo type="percent" val="0"/>
        <cfvo type="num" val="0"/>
        <cfvo type="num" val="1"/>
      </iconSet>
    </cfRule>
  </conditionalFormatting>
  <conditionalFormatting sqref="H32 H23:H24">
    <cfRule type="iconSet" priority="110">
      <iconSet>
        <cfvo type="percent" val="0"/>
        <cfvo type="num" val="0"/>
        <cfvo type="num" val="1"/>
      </iconSet>
    </cfRule>
  </conditionalFormatting>
  <conditionalFormatting sqref="L32">
    <cfRule type="iconSet" priority="114">
      <iconSet>
        <cfvo type="percent" val="0"/>
        <cfvo type="percent" val="30"/>
        <cfvo type="percent" val="60"/>
      </iconSet>
    </cfRule>
  </conditionalFormatting>
  <conditionalFormatting sqref="H26:H29">
    <cfRule type="iconSet" priority="121">
      <iconSet>
        <cfvo type="percent" val="0"/>
        <cfvo type="num" val="0"/>
        <cfvo type="num" val="1"/>
      </iconSet>
    </cfRule>
  </conditionalFormatting>
  <conditionalFormatting sqref="H31">
    <cfRule type="iconSet" priority="124">
      <iconSet>
        <cfvo type="percent" val="0"/>
        <cfvo type="num" val="0"/>
        <cfvo type="num" val="1"/>
      </iconSet>
    </cfRule>
  </conditionalFormatting>
  <conditionalFormatting sqref="L18:L31">
    <cfRule type="iconSet" priority="125">
      <iconSet>
        <cfvo type="percent" val="0"/>
        <cfvo type="percent" val="30"/>
        <cfvo type="percent" val="60"/>
      </iconSet>
    </cfRule>
  </conditionalFormatting>
  <pageMargins left="0.7" right="0.7" top="0.75" bottom="0.75" header="0.3" footer="0.3"/>
  <pageSetup paperSize="9" orientation="portrait" horizontalDpi="30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DDC2-8FCA-4A42-82CD-26DC045155A1}">
  <sheetPr codeName="Sheet2">
    <pageSetUpPr fitToPage="1"/>
  </sheetPr>
  <dimension ref="A1:R238"/>
  <sheetViews>
    <sheetView tabSelected="1" view="pageBreakPreview" topLeftCell="A102" zoomScale="80" zoomScaleNormal="80" zoomScaleSheetLayoutView="80" workbookViewId="0">
      <selection activeCell="C130" sqref="C130:C131"/>
    </sheetView>
  </sheetViews>
  <sheetFormatPr baseColWidth="10" defaultColWidth="11.42578125" defaultRowHeight="15.75" outlineLevelRow="1" x14ac:dyDescent="0.25"/>
  <cols>
    <col min="1" max="1" width="2" style="74" customWidth="1"/>
    <col min="2" max="2" width="10.42578125" style="76" customWidth="1"/>
    <col min="3" max="3" width="13.7109375" style="76" customWidth="1"/>
    <col min="4" max="4" width="11.5703125" style="76" customWidth="1"/>
    <col min="5" max="5" width="14.5703125" style="76" customWidth="1"/>
    <col min="6" max="6" width="13.5703125" style="74" customWidth="1"/>
    <col min="7" max="7" width="57.5703125" style="120" customWidth="1"/>
    <col min="8" max="8" width="10.28515625" style="120" customWidth="1"/>
    <col min="9" max="9" width="8.5703125" style="74" customWidth="1"/>
    <col min="10" max="10" width="8.5703125" style="121" customWidth="1"/>
    <col min="11" max="11" width="15.5703125" style="74" customWidth="1"/>
    <col min="12" max="12" width="16.5703125" style="122" customWidth="1"/>
    <col min="13" max="13" width="17.7109375" style="74" customWidth="1"/>
    <col min="14" max="14" width="44.42578125" style="74" customWidth="1"/>
    <col min="15" max="15" width="27.42578125" style="74" customWidth="1"/>
    <col min="16" max="16" width="11.42578125" style="94"/>
    <col min="17" max="16384" width="11.42578125" style="74"/>
  </cols>
  <sheetData>
    <row r="1" spans="1:17" s="125" customFormat="1" ht="15.75" customHeight="1" thickTop="1" thickBot="1" x14ac:dyDescent="0.3">
      <c r="A1" s="459"/>
      <c r="B1" s="460"/>
      <c r="C1" s="460"/>
      <c r="D1" s="460"/>
      <c r="E1" s="460"/>
      <c r="F1" s="141"/>
      <c r="G1" s="465" t="s">
        <v>491</v>
      </c>
      <c r="H1" s="465"/>
      <c r="I1" s="465"/>
      <c r="J1" s="465"/>
      <c r="K1" s="465"/>
      <c r="L1" s="466"/>
      <c r="M1" s="127"/>
      <c r="N1" s="124"/>
      <c r="O1" s="124"/>
      <c r="P1" s="127"/>
    </row>
    <row r="2" spans="1:17" s="125" customFormat="1" ht="15" customHeight="1" thickTop="1" thickBot="1" x14ac:dyDescent="0.3">
      <c r="A2" s="461"/>
      <c r="B2" s="462"/>
      <c r="C2" s="462"/>
      <c r="D2" s="462"/>
      <c r="E2" s="462"/>
      <c r="F2" s="142"/>
      <c r="G2" s="467"/>
      <c r="H2" s="467"/>
      <c r="I2" s="467"/>
      <c r="J2" s="467"/>
      <c r="K2" s="467"/>
      <c r="L2" s="468"/>
      <c r="M2" s="127"/>
      <c r="N2" s="127"/>
      <c r="O2" s="127"/>
      <c r="P2" s="127"/>
    </row>
    <row r="3" spans="1:17" s="125" customFormat="1" ht="15" customHeight="1" thickTop="1" thickBot="1" x14ac:dyDescent="0.3">
      <c r="A3" s="461"/>
      <c r="B3" s="462"/>
      <c r="C3" s="462"/>
      <c r="D3" s="462"/>
      <c r="E3" s="462"/>
      <c r="F3" s="142"/>
      <c r="G3" s="467"/>
      <c r="H3" s="467"/>
      <c r="I3" s="467"/>
      <c r="J3" s="467"/>
      <c r="K3" s="467"/>
      <c r="L3" s="468"/>
      <c r="M3" s="127"/>
      <c r="N3" s="127"/>
      <c r="O3" s="127"/>
      <c r="P3" s="127"/>
    </row>
    <row r="4" spans="1:17" s="125" customFormat="1" ht="16.5" thickTop="1" thickBot="1" x14ac:dyDescent="0.3">
      <c r="A4" s="461"/>
      <c r="B4" s="462"/>
      <c r="C4" s="462"/>
      <c r="D4" s="462"/>
      <c r="E4" s="462"/>
      <c r="F4" s="129" t="s">
        <v>464</v>
      </c>
      <c r="G4" s="130" t="s">
        <v>471</v>
      </c>
      <c r="H4" s="130"/>
      <c r="I4" s="130"/>
      <c r="J4" s="130"/>
      <c r="K4" s="130"/>
      <c r="L4" s="126"/>
      <c r="M4" s="127"/>
      <c r="N4" s="127"/>
      <c r="O4" s="127"/>
      <c r="P4" s="127"/>
    </row>
    <row r="5" spans="1:17" s="125" customFormat="1" ht="17.25" thickTop="1" thickBot="1" x14ac:dyDescent="0.3">
      <c r="A5" s="463"/>
      <c r="B5" s="464"/>
      <c r="C5" s="464"/>
      <c r="D5" s="464"/>
      <c r="E5" s="464"/>
      <c r="F5" s="131" t="s">
        <v>465</v>
      </c>
      <c r="G5" s="131" t="s">
        <v>520</v>
      </c>
      <c r="H5" s="131"/>
      <c r="I5" s="143"/>
      <c r="J5" s="143"/>
      <c r="K5" s="127"/>
      <c r="L5" s="128"/>
      <c r="M5" s="127"/>
      <c r="N5" s="127"/>
      <c r="O5" s="127"/>
      <c r="P5" s="127"/>
    </row>
    <row r="6" spans="1:17" ht="18" thickTop="1" x14ac:dyDescent="0.25">
      <c r="B6" s="123"/>
      <c r="C6" s="123"/>
      <c r="D6" s="123"/>
      <c r="E6" s="123"/>
      <c r="F6" s="123"/>
      <c r="G6" s="123"/>
      <c r="H6" s="123"/>
      <c r="I6" s="123"/>
      <c r="J6" s="123"/>
      <c r="K6" s="194"/>
      <c r="L6" s="194"/>
      <c r="M6" s="194"/>
      <c r="N6" s="194"/>
      <c r="O6" s="194"/>
      <c r="P6" s="195"/>
      <c r="Q6" s="196"/>
    </row>
    <row r="7" spans="1:17" ht="19.5" customHeight="1" x14ac:dyDescent="0.25">
      <c r="B7" s="469" t="s">
        <v>488</v>
      </c>
      <c r="C7" s="470"/>
      <c r="D7" s="470"/>
      <c r="E7" s="470"/>
      <c r="F7" s="470"/>
      <c r="G7" s="147">
        <f>HAZOP[FechaVencimiento]-13</f>
        <v>44021</v>
      </c>
      <c r="H7" s="68"/>
      <c r="I7" s="69"/>
      <c r="J7" s="75"/>
      <c r="K7" s="197"/>
      <c r="L7" s="186"/>
      <c r="M7" s="187"/>
      <c r="N7" s="193" t="s">
        <v>302</v>
      </c>
      <c r="O7" s="471" t="s">
        <v>303</v>
      </c>
      <c r="P7" s="471"/>
      <c r="Q7" s="198"/>
    </row>
    <row r="8" spans="1:17" ht="22.5" customHeight="1" x14ac:dyDescent="0.25">
      <c r="B8" s="472" t="s">
        <v>305</v>
      </c>
      <c r="C8" s="473"/>
      <c r="D8" s="473"/>
      <c r="E8" s="473"/>
      <c r="F8" s="473"/>
      <c r="G8" s="80" t="s">
        <v>349</v>
      </c>
      <c r="H8" s="77"/>
      <c r="I8" s="78"/>
      <c r="J8" s="79"/>
      <c r="K8" s="199"/>
      <c r="L8" s="474" t="str">
        <f>G16</f>
        <v>REPUESTOS MECÁNICOS</v>
      </c>
      <c r="M8" s="475"/>
      <c r="N8" s="161">
        <f>((M17+M30+M54+M73+M88+M93+M102+M110+M116+M135)/10)*0.2</f>
        <v>5.4190476190476192E-2</v>
      </c>
      <c r="O8" s="162">
        <f ca="1">((P17+P30+P54+P73+P88+P93+P102+P110+P116+P135)/10)*0.2</f>
        <v>0.19492063492063491</v>
      </c>
      <c r="P8" s="163" t="s">
        <v>304</v>
      </c>
      <c r="Q8" s="191"/>
    </row>
    <row r="9" spans="1:17" ht="25.5" customHeight="1" x14ac:dyDescent="0.25">
      <c r="B9" s="472" t="s">
        <v>306</v>
      </c>
      <c r="C9" s="473"/>
      <c r="D9" s="473"/>
      <c r="E9" s="473"/>
      <c r="F9" s="473" t="s">
        <v>452</v>
      </c>
      <c r="G9" s="84"/>
      <c r="H9" s="81"/>
      <c r="I9" s="78"/>
      <c r="J9" s="79"/>
      <c r="K9" s="199"/>
      <c r="L9" s="474" t="str">
        <f>G165</f>
        <v>HERRAMIENTAS</v>
      </c>
      <c r="M9" s="475"/>
      <c r="N9" s="82">
        <f>M165*0.2</f>
        <v>0</v>
      </c>
      <c r="O9" s="83">
        <f ca="1">P165*0.2</f>
        <v>0.20000000000000007</v>
      </c>
      <c r="P9" s="71" t="s">
        <v>304</v>
      </c>
      <c r="Q9" s="196"/>
    </row>
    <row r="10" spans="1:17" ht="24" customHeight="1" x14ac:dyDescent="0.25">
      <c r="B10" s="472" t="s">
        <v>307</v>
      </c>
      <c r="C10" s="473"/>
      <c r="D10" s="473"/>
      <c r="E10" s="473"/>
      <c r="F10" s="473" t="s">
        <v>433</v>
      </c>
      <c r="G10" s="84"/>
      <c r="H10" s="85"/>
      <c r="I10" s="78"/>
      <c r="J10" s="79"/>
      <c r="K10" s="199"/>
      <c r="L10" s="474" t="str">
        <f>G197</f>
        <v>INSTRUMENTO Y EQUIPO</v>
      </c>
      <c r="M10" s="475"/>
      <c r="N10" s="82">
        <f>M197*0.2</f>
        <v>0</v>
      </c>
      <c r="O10" s="83">
        <f ca="1">P197*0.2</f>
        <v>0.19999999999999998</v>
      </c>
      <c r="P10" s="71" t="s">
        <v>304</v>
      </c>
      <c r="Q10" s="196"/>
    </row>
    <row r="11" spans="1:17" ht="18.75" x14ac:dyDescent="0.25">
      <c r="B11" s="472" t="s">
        <v>308</v>
      </c>
      <c r="C11" s="473"/>
      <c r="D11" s="473"/>
      <c r="E11" s="473"/>
      <c r="F11" s="473" t="s">
        <v>451</v>
      </c>
      <c r="G11" s="84" t="s">
        <v>1584</v>
      </c>
      <c r="H11" s="85"/>
      <c r="I11" s="78"/>
      <c r="J11" s="79"/>
      <c r="K11" s="199"/>
      <c r="L11" s="474" t="str">
        <f>G217</f>
        <v>MATERIALES GENERALES</v>
      </c>
      <c r="M11" s="475"/>
      <c r="N11" s="82">
        <f>M217*0.2</f>
        <v>0</v>
      </c>
      <c r="O11" s="83">
        <f ca="1">P217*0.2</f>
        <v>0.19999999999999998</v>
      </c>
      <c r="P11" s="71" t="s">
        <v>304</v>
      </c>
      <c r="Q11" s="196"/>
    </row>
    <row r="12" spans="1:17" ht="19.5" thickBot="1" x14ac:dyDescent="0.3">
      <c r="B12" s="472" t="s">
        <v>309</v>
      </c>
      <c r="C12" s="473"/>
      <c r="D12" s="473"/>
      <c r="E12" s="473"/>
      <c r="F12" s="473">
        <f ca="1">TODAY()</f>
        <v>46163</v>
      </c>
      <c r="G12" s="158">
        <f ca="1">TODAY()</f>
        <v>46163</v>
      </c>
      <c r="H12" s="85"/>
      <c r="I12" s="78"/>
      <c r="J12" s="79"/>
      <c r="K12" s="199"/>
      <c r="L12" s="474" t="str">
        <f>G229</f>
        <v>EPP</v>
      </c>
      <c r="M12" s="475"/>
      <c r="N12" s="86">
        <f>M229*0.2</f>
        <v>0</v>
      </c>
      <c r="O12" s="87">
        <f ca="1">P229*0.2</f>
        <v>0.20000000000000007</v>
      </c>
      <c r="P12" s="72" t="s">
        <v>304</v>
      </c>
      <c r="Q12" s="196"/>
    </row>
    <row r="13" spans="1:17" ht="18.75" x14ac:dyDescent="0.25">
      <c r="B13" s="472" t="s">
        <v>430</v>
      </c>
      <c r="C13" s="473"/>
      <c r="D13" s="473"/>
      <c r="E13" s="473"/>
      <c r="F13" s="473" t="e">
        <f>[1]!HAZOP[Codigo]</f>
        <v>#REF!</v>
      </c>
      <c r="G13" s="89" t="str">
        <f>HAZOP[Codigo]</f>
        <v>SD 2187</v>
      </c>
      <c r="H13" s="88"/>
      <c r="I13" s="78"/>
      <c r="J13" s="79"/>
      <c r="K13" s="199"/>
      <c r="L13" s="188"/>
      <c r="M13" s="189"/>
      <c r="N13" s="190"/>
      <c r="O13" s="190"/>
      <c r="P13" s="191"/>
      <c r="Q13" s="196"/>
    </row>
    <row r="14" spans="1:17" ht="18.75" x14ac:dyDescent="0.3">
      <c r="B14" s="146"/>
      <c r="C14" s="146"/>
      <c r="D14" s="146"/>
      <c r="E14" s="146"/>
      <c r="F14" s="146"/>
      <c r="G14" s="145"/>
      <c r="H14" s="88"/>
      <c r="I14" s="78"/>
      <c r="J14" s="79"/>
      <c r="K14" s="199"/>
      <c r="L14" s="140" t="s">
        <v>310</v>
      </c>
      <c r="M14" s="140"/>
      <c r="N14" s="200">
        <f>SUM(N8:N12)</f>
        <v>5.4190476190476192E-2</v>
      </c>
      <c r="O14" s="201">
        <f ca="1">SUM(O8:O12)</f>
        <v>0.99492063492063498</v>
      </c>
      <c r="P14" s="144" t="s">
        <v>304</v>
      </c>
    </row>
    <row r="15" spans="1:17" ht="17.25" x14ac:dyDescent="0.25">
      <c r="F15" s="90"/>
      <c r="G15" s="91"/>
      <c r="H15" s="91"/>
      <c r="I15" s="69"/>
      <c r="J15" s="75"/>
      <c r="K15" s="202"/>
      <c r="L15" s="92"/>
      <c r="M15" s="93"/>
      <c r="N15" s="93"/>
      <c r="O15" s="70"/>
    </row>
    <row r="16" spans="1:17" ht="37.5" x14ac:dyDescent="0.25">
      <c r="B16" s="133" t="s">
        <v>0</v>
      </c>
      <c r="C16" s="133" t="s">
        <v>335</v>
      </c>
      <c r="D16" s="133" t="s">
        <v>320</v>
      </c>
      <c r="E16" s="133" t="s">
        <v>319</v>
      </c>
      <c r="F16" s="133" t="s">
        <v>490</v>
      </c>
      <c r="G16" s="132" t="s">
        <v>378</v>
      </c>
      <c r="H16" s="132" t="s">
        <v>333</v>
      </c>
      <c r="I16" s="132" t="s">
        <v>311</v>
      </c>
      <c r="J16" s="132" t="s">
        <v>312</v>
      </c>
      <c r="K16" s="132" t="s">
        <v>313</v>
      </c>
      <c r="L16" s="132" t="s">
        <v>314</v>
      </c>
      <c r="M16" s="133" t="s">
        <v>315</v>
      </c>
      <c r="N16" s="132" t="s">
        <v>316</v>
      </c>
      <c r="O16" s="132" t="s">
        <v>317</v>
      </c>
      <c r="P16" s="132" t="s">
        <v>318</v>
      </c>
    </row>
    <row r="17" spans="2:18" ht="33" customHeight="1" x14ac:dyDescent="0.25">
      <c r="B17" s="203">
        <v>1</v>
      </c>
      <c r="C17" s="171" t="s">
        <v>335</v>
      </c>
      <c r="D17" s="184" t="s">
        <v>320</v>
      </c>
      <c r="E17" s="171" t="s">
        <v>319</v>
      </c>
      <c r="F17" s="184" t="s">
        <v>490</v>
      </c>
      <c r="G17" s="185" t="s">
        <v>521</v>
      </c>
      <c r="H17" s="171" t="s">
        <v>333</v>
      </c>
      <c r="I17" s="204">
        <f>SUM(I18:I29)</f>
        <v>1</v>
      </c>
      <c r="J17" s="171" t="s">
        <v>299</v>
      </c>
      <c r="K17" s="171" t="s">
        <v>339</v>
      </c>
      <c r="L17" s="204">
        <f>AVERAGE(L18:L29)</f>
        <v>0.29999999999999993</v>
      </c>
      <c r="M17" s="204">
        <f>SUM(M18:M29)</f>
        <v>0.3</v>
      </c>
      <c r="N17" s="171" t="s">
        <v>340</v>
      </c>
      <c r="O17" s="171" t="s">
        <v>321</v>
      </c>
      <c r="P17" s="204">
        <f ca="1">SUM(P18:P29)</f>
        <v>1</v>
      </c>
    </row>
    <row r="18" spans="2:18" outlineLevel="1" x14ac:dyDescent="0.25">
      <c r="B18" s="134" t="s">
        <v>322</v>
      </c>
      <c r="C18" s="205">
        <v>746231</v>
      </c>
      <c r="D18" s="159">
        <f>IFERROR(VLOOKUP(C18,Tabla_APL[[STOCKCODE]:[TYPE]],3,FALSE),"")</f>
        <v>4</v>
      </c>
      <c r="E18" s="159">
        <v>1</v>
      </c>
      <c r="F18" s="135">
        <f>D18-E18</f>
        <v>3</v>
      </c>
      <c r="G18" s="206" t="s">
        <v>522</v>
      </c>
      <c r="H18" s="169">
        <v>1</v>
      </c>
      <c r="I18" s="148">
        <f t="shared" ref="I18:I29" si="0">IF(H18=1,1/SUM(H$18:H$29),0)</f>
        <v>8.3333333333333329E-2</v>
      </c>
      <c r="J18" s="136">
        <v>40</v>
      </c>
      <c r="K18" s="137">
        <f>$G$7-J18</f>
        <v>43981</v>
      </c>
      <c r="L18" s="138">
        <v>0.3</v>
      </c>
      <c r="M18" s="139">
        <f t="shared" ref="M18:M29" si="1">I18*L18</f>
        <v>2.4999999999999998E-2</v>
      </c>
      <c r="N18" s="207" t="s">
        <v>1270</v>
      </c>
      <c r="O18" s="136" t="s">
        <v>1278</v>
      </c>
      <c r="P18" s="148">
        <f t="shared" ref="P18:P29" ca="1" si="2">(IF(K18&lt;=TODAY(),1,0))*I18</f>
        <v>8.3333333333333329E-2</v>
      </c>
    </row>
    <row r="19" spans="2:18" outlineLevel="1" x14ac:dyDescent="0.25">
      <c r="B19" s="149" t="s">
        <v>323</v>
      </c>
      <c r="C19" s="208">
        <v>746218</v>
      </c>
      <c r="D19" s="159">
        <f>IFERROR(VLOOKUP(C19,Tabla_APL[[STOCKCODE]:[TYPE]],3,FALSE),"")</f>
        <v>4</v>
      </c>
      <c r="E19" s="160">
        <v>1</v>
      </c>
      <c r="F19" s="151">
        <f>D19-E19</f>
        <v>3</v>
      </c>
      <c r="G19" s="152" t="s">
        <v>523</v>
      </c>
      <c r="H19" s="170">
        <v>1</v>
      </c>
      <c r="I19" s="157">
        <f t="shared" si="0"/>
        <v>8.3333333333333329E-2</v>
      </c>
      <c r="J19" s="154">
        <v>40</v>
      </c>
      <c r="K19" s="155">
        <f t="shared" ref="K19:K82" si="3">$G$7-J19</f>
        <v>43981</v>
      </c>
      <c r="L19" s="138">
        <v>0.3</v>
      </c>
      <c r="M19" s="156">
        <f t="shared" si="1"/>
        <v>2.4999999999999998E-2</v>
      </c>
      <c r="N19" s="113"/>
      <c r="O19" s="154"/>
      <c r="P19" s="157">
        <f t="shared" ca="1" si="2"/>
        <v>8.3333333333333329E-2</v>
      </c>
    </row>
    <row r="20" spans="2:18" outlineLevel="1" x14ac:dyDescent="0.25">
      <c r="B20" s="134" t="s">
        <v>324</v>
      </c>
      <c r="C20" s="205">
        <v>746232</v>
      </c>
      <c r="D20" s="159">
        <f>IFERROR(VLOOKUP(C20,Tabla_APL[[STOCKCODE]:[TYPE]],3,FALSE),"")</f>
        <v>8</v>
      </c>
      <c r="E20" s="159">
        <v>1</v>
      </c>
      <c r="F20" s="135">
        <f>D20-E20</f>
        <v>7</v>
      </c>
      <c r="G20" s="206" t="s">
        <v>524</v>
      </c>
      <c r="H20" s="170">
        <v>1</v>
      </c>
      <c r="I20" s="148">
        <f t="shared" si="0"/>
        <v>8.3333333333333329E-2</v>
      </c>
      <c r="J20" s="136">
        <v>40</v>
      </c>
      <c r="K20" s="137">
        <f t="shared" si="3"/>
        <v>43981</v>
      </c>
      <c r="L20" s="138">
        <v>0.3</v>
      </c>
      <c r="M20" s="139">
        <f t="shared" si="1"/>
        <v>2.4999999999999998E-2</v>
      </c>
      <c r="N20" s="136"/>
      <c r="O20" s="136"/>
      <c r="P20" s="148">
        <f t="shared" ca="1" si="2"/>
        <v>8.3333333333333329E-2</v>
      </c>
      <c r="R20" s="209"/>
    </row>
    <row r="21" spans="2:18" outlineLevel="1" x14ac:dyDescent="0.25">
      <c r="B21" s="149" t="s">
        <v>325</v>
      </c>
      <c r="C21" s="150">
        <v>123216</v>
      </c>
      <c r="D21" s="159">
        <f>IFERROR(VLOOKUP(C21,Tabla_APL[[STOCKCODE]:[TYPE]],3,FALSE),"")</f>
        <v>16</v>
      </c>
      <c r="E21" s="160">
        <v>1</v>
      </c>
      <c r="F21" s="151">
        <f>D21-E21</f>
        <v>15</v>
      </c>
      <c r="G21" s="152" t="s">
        <v>525</v>
      </c>
      <c r="H21" s="170">
        <v>1</v>
      </c>
      <c r="I21" s="157">
        <f t="shared" si="0"/>
        <v>8.3333333333333329E-2</v>
      </c>
      <c r="J21" s="154">
        <v>40</v>
      </c>
      <c r="K21" s="155">
        <f t="shared" si="3"/>
        <v>43981</v>
      </c>
      <c r="L21" s="138">
        <v>0.3</v>
      </c>
      <c r="M21" s="156">
        <f t="shared" si="1"/>
        <v>2.4999999999999998E-2</v>
      </c>
      <c r="N21" s="113"/>
      <c r="O21" s="154"/>
      <c r="P21" s="157">
        <f t="shared" ca="1" si="2"/>
        <v>8.3333333333333329E-2</v>
      </c>
    </row>
    <row r="22" spans="2:18" outlineLevel="1" x14ac:dyDescent="0.25">
      <c r="B22" s="134" t="s">
        <v>326</v>
      </c>
      <c r="C22" s="210">
        <v>88948</v>
      </c>
      <c r="D22" s="159">
        <f>IFERROR(VLOOKUP(C22,Tabla_APL[[STOCKCODE]:[TYPE]],3,FALSE),"")</f>
        <v>47</v>
      </c>
      <c r="E22" s="159">
        <v>1</v>
      </c>
      <c r="F22" s="135">
        <f t="shared" ref="F22:F85" si="4">D22-E22</f>
        <v>46</v>
      </c>
      <c r="G22" s="206" t="s">
        <v>526</v>
      </c>
      <c r="H22" s="170">
        <v>1</v>
      </c>
      <c r="I22" s="148">
        <f t="shared" si="0"/>
        <v>8.3333333333333329E-2</v>
      </c>
      <c r="J22" s="136">
        <v>40</v>
      </c>
      <c r="K22" s="137">
        <f t="shared" si="3"/>
        <v>43981</v>
      </c>
      <c r="L22" s="138">
        <v>0.3</v>
      </c>
      <c r="M22" s="139">
        <f t="shared" si="1"/>
        <v>2.4999999999999998E-2</v>
      </c>
      <c r="N22" s="207"/>
      <c r="O22" s="136"/>
      <c r="P22" s="148">
        <f t="shared" ca="1" si="2"/>
        <v>8.3333333333333329E-2</v>
      </c>
    </row>
    <row r="23" spans="2:18" outlineLevel="1" x14ac:dyDescent="0.25">
      <c r="B23" s="149" t="s">
        <v>327</v>
      </c>
      <c r="C23" s="150">
        <v>123224</v>
      </c>
      <c r="D23" s="159">
        <f>IFERROR(VLOOKUP(C23,Tabla_APL[[STOCKCODE]:[TYPE]],3,FALSE),"")</f>
        <v>28</v>
      </c>
      <c r="E23" s="160">
        <v>2</v>
      </c>
      <c r="F23" s="151">
        <f t="shared" si="4"/>
        <v>26</v>
      </c>
      <c r="G23" s="152" t="s">
        <v>527</v>
      </c>
      <c r="H23" s="170">
        <v>1</v>
      </c>
      <c r="I23" s="157">
        <f t="shared" si="0"/>
        <v>8.3333333333333329E-2</v>
      </c>
      <c r="J23" s="154">
        <v>40</v>
      </c>
      <c r="K23" s="155">
        <f t="shared" si="3"/>
        <v>43981</v>
      </c>
      <c r="L23" s="138">
        <v>0.3</v>
      </c>
      <c r="M23" s="156">
        <f t="shared" si="1"/>
        <v>2.4999999999999998E-2</v>
      </c>
      <c r="N23" s="113"/>
      <c r="O23" s="154"/>
      <c r="P23" s="157">
        <f t="shared" ca="1" si="2"/>
        <v>8.3333333333333329E-2</v>
      </c>
    </row>
    <row r="24" spans="2:18" outlineLevel="1" x14ac:dyDescent="0.25">
      <c r="B24" s="134" t="s">
        <v>328</v>
      </c>
      <c r="C24" s="205">
        <v>114330</v>
      </c>
      <c r="D24" s="159">
        <v>28</v>
      </c>
      <c r="E24" s="159">
        <v>2</v>
      </c>
      <c r="F24" s="135">
        <f t="shared" si="4"/>
        <v>26</v>
      </c>
      <c r="G24" s="206" t="s">
        <v>528</v>
      </c>
      <c r="H24" s="170">
        <v>1</v>
      </c>
      <c r="I24" s="148">
        <f t="shared" si="0"/>
        <v>8.3333333333333329E-2</v>
      </c>
      <c r="J24" s="136">
        <v>40</v>
      </c>
      <c r="K24" s="137">
        <f t="shared" si="3"/>
        <v>43981</v>
      </c>
      <c r="L24" s="138">
        <v>0.3</v>
      </c>
      <c r="M24" s="139">
        <f t="shared" si="1"/>
        <v>2.4999999999999998E-2</v>
      </c>
      <c r="N24" s="207"/>
      <c r="O24" s="136"/>
      <c r="P24" s="148">
        <f t="shared" ca="1" si="2"/>
        <v>8.3333333333333329E-2</v>
      </c>
    </row>
    <row r="25" spans="2:18" outlineLevel="1" x14ac:dyDescent="0.25">
      <c r="B25" s="149" t="s">
        <v>329</v>
      </c>
      <c r="C25" s="208">
        <v>746233</v>
      </c>
      <c r="D25" s="159">
        <f>IFERROR(VLOOKUP(C25,Tabla_APL[[STOCKCODE]:[TYPE]],3,FALSE),"")</f>
        <v>10</v>
      </c>
      <c r="E25" s="160">
        <v>2</v>
      </c>
      <c r="F25" s="151">
        <f t="shared" si="4"/>
        <v>8</v>
      </c>
      <c r="G25" s="152" t="s">
        <v>1583</v>
      </c>
      <c r="H25" s="170">
        <v>1</v>
      </c>
      <c r="I25" s="157">
        <f t="shared" si="0"/>
        <v>8.3333333333333329E-2</v>
      </c>
      <c r="J25" s="154">
        <v>40</v>
      </c>
      <c r="K25" s="155">
        <f t="shared" si="3"/>
        <v>43981</v>
      </c>
      <c r="L25" s="138">
        <v>0.3</v>
      </c>
      <c r="M25" s="156">
        <f t="shared" si="1"/>
        <v>2.4999999999999998E-2</v>
      </c>
      <c r="N25" s="113"/>
      <c r="O25" s="154"/>
      <c r="P25" s="157">
        <f t="shared" ca="1" si="2"/>
        <v>8.3333333333333329E-2</v>
      </c>
    </row>
    <row r="26" spans="2:18" outlineLevel="1" x14ac:dyDescent="0.25">
      <c r="B26" s="134" t="s">
        <v>330</v>
      </c>
      <c r="C26" s="210">
        <v>448068</v>
      </c>
      <c r="D26" s="159">
        <f>IFERROR(VLOOKUP(C26,Tabla_APL[[STOCKCODE]:[TYPE]],3,FALSE),"")</f>
        <v>11</v>
      </c>
      <c r="E26" s="159">
        <v>1</v>
      </c>
      <c r="F26" s="135">
        <f t="shared" si="4"/>
        <v>10</v>
      </c>
      <c r="G26" s="206" t="s">
        <v>530</v>
      </c>
      <c r="H26" s="170">
        <v>1</v>
      </c>
      <c r="I26" s="148">
        <f t="shared" si="0"/>
        <v>8.3333333333333329E-2</v>
      </c>
      <c r="J26" s="136">
        <v>40</v>
      </c>
      <c r="K26" s="137">
        <f t="shared" si="3"/>
        <v>43981</v>
      </c>
      <c r="L26" s="138">
        <v>0.3</v>
      </c>
      <c r="M26" s="139">
        <f t="shared" si="1"/>
        <v>2.4999999999999998E-2</v>
      </c>
      <c r="N26" s="207"/>
      <c r="O26" s="136"/>
      <c r="P26" s="148">
        <f t="shared" ca="1" si="2"/>
        <v>8.3333333333333329E-2</v>
      </c>
    </row>
    <row r="27" spans="2:18" outlineLevel="1" x14ac:dyDescent="0.25">
      <c r="B27" s="149" t="s">
        <v>331</v>
      </c>
      <c r="C27" s="208">
        <v>746234</v>
      </c>
      <c r="D27" s="159">
        <f>IFERROR(VLOOKUP(C27,Tabla_APL[[STOCKCODE]:[TYPE]],3,FALSE),"")</f>
        <v>5</v>
      </c>
      <c r="E27" s="160">
        <v>1</v>
      </c>
      <c r="F27" s="151">
        <f t="shared" si="4"/>
        <v>4</v>
      </c>
      <c r="G27" s="152" t="s">
        <v>529</v>
      </c>
      <c r="H27" s="170">
        <v>1</v>
      </c>
      <c r="I27" s="157">
        <f t="shared" si="0"/>
        <v>8.3333333333333329E-2</v>
      </c>
      <c r="J27" s="154">
        <v>40</v>
      </c>
      <c r="K27" s="155">
        <f t="shared" si="3"/>
        <v>43981</v>
      </c>
      <c r="L27" s="138">
        <v>0.3</v>
      </c>
      <c r="M27" s="156">
        <f t="shared" si="1"/>
        <v>2.4999999999999998E-2</v>
      </c>
      <c r="N27" s="113"/>
      <c r="O27" s="154"/>
      <c r="P27" s="157">
        <f t="shared" ca="1" si="2"/>
        <v>8.3333333333333329E-2</v>
      </c>
    </row>
    <row r="28" spans="2:18" outlineLevel="1" x14ac:dyDescent="0.25">
      <c r="B28" s="134" t="s">
        <v>332</v>
      </c>
      <c r="C28" s="210">
        <v>155762</v>
      </c>
      <c r="D28" s="159">
        <f>IFERROR(VLOOKUP(C28,Tabla_APL[[STOCKCODE]:[TYPE]],3,FALSE),"")</f>
        <v>21</v>
      </c>
      <c r="E28" s="159">
        <v>1</v>
      </c>
      <c r="F28" s="135">
        <f t="shared" si="4"/>
        <v>20</v>
      </c>
      <c r="G28" s="206" t="s">
        <v>531</v>
      </c>
      <c r="H28" s="170">
        <v>1</v>
      </c>
      <c r="I28" s="148">
        <f t="shared" si="0"/>
        <v>8.3333333333333329E-2</v>
      </c>
      <c r="J28" s="136">
        <v>40</v>
      </c>
      <c r="K28" s="137">
        <f t="shared" si="3"/>
        <v>43981</v>
      </c>
      <c r="L28" s="138">
        <v>0.3</v>
      </c>
      <c r="M28" s="139">
        <f t="shared" si="1"/>
        <v>2.4999999999999998E-2</v>
      </c>
      <c r="N28" s="207"/>
      <c r="O28" s="136"/>
      <c r="P28" s="148">
        <f t="shared" ca="1" si="2"/>
        <v>8.3333333333333329E-2</v>
      </c>
    </row>
    <row r="29" spans="2:18" outlineLevel="1" x14ac:dyDescent="0.25">
      <c r="B29" s="149" t="s">
        <v>516</v>
      </c>
      <c r="C29" s="211">
        <v>746235</v>
      </c>
      <c r="D29" s="159">
        <f>IFERROR(VLOOKUP(C29,Tabla_APL[[STOCKCODE]:[TYPE]],3,FALSE),"")</f>
        <v>4</v>
      </c>
      <c r="E29" s="183">
        <v>1</v>
      </c>
      <c r="F29" s="212">
        <f t="shared" si="4"/>
        <v>3</v>
      </c>
      <c r="G29" s="152" t="s">
        <v>532</v>
      </c>
      <c r="H29" s="170">
        <v>1</v>
      </c>
      <c r="I29" s="157">
        <f t="shared" si="0"/>
        <v>8.3333333333333329E-2</v>
      </c>
      <c r="J29" s="154">
        <v>40</v>
      </c>
      <c r="K29" s="155">
        <f t="shared" si="3"/>
        <v>43981</v>
      </c>
      <c r="L29" s="138">
        <v>0.3</v>
      </c>
      <c r="M29" s="156">
        <f t="shared" si="1"/>
        <v>2.4999999999999998E-2</v>
      </c>
      <c r="N29" s="154"/>
      <c r="O29" s="154"/>
      <c r="P29" s="157">
        <f t="shared" ca="1" si="2"/>
        <v>8.3333333333333329E-2</v>
      </c>
    </row>
    <row r="30" spans="2:18" ht="31.5" outlineLevel="1" x14ac:dyDescent="0.25">
      <c r="B30" s="213">
        <v>1.1000000000000001</v>
      </c>
      <c r="C30" s="171" t="s">
        <v>335</v>
      </c>
      <c r="D30" s="184" t="s">
        <v>320</v>
      </c>
      <c r="E30" s="171" t="s">
        <v>319</v>
      </c>
      <c r="F30" s="171" t="s">
        <v>453</v>
      </c>
      <c r="G30" s="171" t="s">
        <v>533</v>
      </c>
      <c r="H30" s="171" t="s">
        <v>333</v>
      </c>
      <c r="I30" s="214">
        <f>SUM(I31:I53)</f>
        <v>0.99999999999999967</v>
      </c>
      <c r="J30" s="171" t="s">
        <v>299</v>
      </c>
      <c r="K30" s="171" t="s">
        <v>339</v>
      </c>
      <c r="L30" s="214">
        <f>AVERAGE(L31:L53)</f>
        <v>0.29999999999999988</v>
      </c>
      <c r="M30" s="214">
        <f>SUM(M31:M53)</f>
        <v>0.3</v>
      </c>
      <c r="N30" s="171" t="s">
        <v>340</v>
      </c>
      <c r="O30" s="171" t="s">
        <v>321</v>
      </c>
      <c r="P30" s="214">
        <f ca="1">SUM(P31:P53)</f>
        <v>0.99999999999999967</v>
      </c>
    </row>
    <row r="31" spans="2:18" outlineLevel="1" x14ac:dyDescent="0.25">
      <c r="B31" s="95" t="s">
        <v>377</v>
      </c>
      <c r="C31" s="159">
        <v>123224</v>
      </c>
      <c r="D31" s="159">
        <f>IFERROR(VLOOKUP(C31,Tabla_APL[[STOCKCODE]:[TYPE]],3,FALSE),"")</f>
        <v>28</v>
      </c>
      <c r="E31" s="159">
        <v>2</v>
      </c>
      <c r="F31" s="135">
        <f t="shared" si="4"/>
        <v>26</v>
      </c>
      <c r="G31" s="96" t="s">
        <v>527</v>
      </c>
      <c r="H31" s="170">
        <v>1</v>
      </c>
      <c r="I31" s="104">
        <f t="shared" ref="I31:I40" si="5">IF(H31=1,1/SUM(H$31:H$53),0)</f>
        <v>4.5454545454545456E-2</v>
      </c>
      <c r="J31" s="98">
        <v>40</v>
      </c>
      <c r="K31" s="137">
        <f t="shared" si="3"/>
        <v>43981</v>
      </c>
      <c r="L31" s="138">
        <v>0.3</v>
      </c>
      <c r="M31" s="100">
        <f t="shared" ref="M31:M53" si="6">I31*L31</f>
        <v>1.3636363636363636E-2</v>
      </c>
      <c r="N31" s="109"/>
      <c r="O31" s="102"/>
      <c r="P31" s="101">
        <f t="shared" ref="P31:P40" ca="1" si="7">(IF(K31&lt;=TODAY(),1,0))*I31</f>
        <v>4.5454545454545456E-2</v>
      </c>
    </row>
    <row r="32" spans="2:18" outlineLevel="1" x14ac:dyDescent="0.25">
      <c r="B32" s="149" t="s">
        <v>396</v>
      </c>
      <c r="C32" s="208">
        <v>746221</v>
      </c>
      <c r="D32" s="159">
        <f>IFERROR(VLOOKUP(C32,Tabla_APL[[STOCKCODE]:[TYPE]],3,FALSE),"")</f>
        <v>10</v>
      </c>
      <c r="E32" s="160">
        <v>2</v>
      </c>
      <c r="F32" s="151">
        <f t="shared" si="4"/>
        <v>8</v>
      </c>
      <c r="G32" s="152" t="s">
        <v>529</v>
      </c>
      <c r="H32" s="170">
        <v>1</v>
      </c>
      <c r="I32" s="157">
        <f t="shared" si="5"/>
        <v>4.5454545454545456E-2</v>
      </c>
      <c r="J32" s="154">
        <v>40</v>
      </c>
      <c r="K32" s="155">
        <f t="shared" si="3"/>
        <v>43981</v>
      </c>
      <c r="L32" s="138">
        <v>0.3</v>
      </c>
      <c r="M32" s="156">
        <f t="shared" si="6"/>
        <v>1.3636363636363636E-2</v>
      </c>
      <c r="N32" s="113"/>
      <c r="O32" s="154"/>
      <c r="P32" s="157">
        <f t="shared" ca="1" si="7"/>
        <v>4.5454545454545456E-2</v>
      </c>
    </row>
    <row r="33" spans="2:16" outlineLevel="1" x14ac:dyDescent="0.25">
      <c r="B33" s="95" t="s">
        <v>397</v>
      </c>
      <c r="C33" s="105">
        <v>155762</v>
      </c>
      <c r="D33" s="159">
        <f>IFERROR(VLOOKUP(C33,Tabla_APL[[STOCKCODE]:[TYPE]],3,FALSE),"")</f>
        <v>21</v>
      </c>
      <c r="E33" s="105">
        <v>2</v>
      </c>
      <c r="F33" s="135">
        <f t="shared" si="4"/>
        <v>19</v>
      </c>
      <c r="G33" s="96" t="s">
        <v>531</v>
      </c>
      <c r="H33" s="170">
        <v>1</v>
      </c>
      <c r="I33" s="104">
        <f t="shared" si="5"/>
        <v>4.5454545454545456E-2</v>
      </c>
      <c r="J33" s="98">
        <v>40</v>
      </c>
      <c r="K33" s="137">
        <f t="shared" si="3"/>
        <v>43981</v>
      </c>
      <c r="L33" s="138">
        <v>0.3</v>
      </c>
      <c r="M33" s="100">
        <f t="shared" si="6"/>
        <v>1.3636363636363636E-2</v>
      </c>
      <c r="N33" s="109"/>
      <c r="O33" s="102"/>
      <c r="P33" s="101">
        <f t="shared" ca="1" si="7"/>
        <v>4.5454545454545456E-2</v>
      </c>
    </row>
    <row r="34" spans="2:16" outlineLevel="1" x14ac:dyDescent="0.25">
      <c r="B34" s="149" t="s">
        <v>398</v>
      </c>
      <c r="C34" s="208">
        <v>746222</v>
      </c>
      <c r="D34" s="159">
        <f>IFERROR(VLOOKUP(C34,Tabla_APL[[STOCKCODE]:[TYPE]],3,FALSE),"")</f>
        <v>6</v>
      </c>
      <c r="E34" s="160">
        <v>1</v>
      </c>
      <c r="F34" s="151">
        <f t="shared" si="4"/>
        <v>5</v>
      </c>
      <c r="G34" s="152" t="s">
        <v>529</v>
      </c>
      <c r="H34" s="170">
        <v>1</v>
      </c>
      <c r="I34" s="157">
        <f t="shared" si="5"/>
        <v>4.5454545454545456E-2</v>
      </c>
      <c r="J34" s="154">
        <v>40</v>
      </c>
      <c r="K34" s="155">
        <f t="shared" si="3"/>
        <v>43981</v>
      </c>
      <c r="L34" s="138">
        <v>0.3</v>
      </c>
      <c r="M34" s="156">
        <f t="shared" si="6"/>
        <v>1.3636363636363636E-2</v>
      </c>
      <c r="N34" s="113"/>
      <c r="O34" s="154"/>
      <c r="P34" s="157">
        <f t="shared" ca="1" si="7"/>
        <v>4.5454545454545456E-2</v>
      </c>
    </row>
    <row r="35" spans="2:16" outlineLevel="1" x14ac:dyDescent="0.25">
      <c r="B35" s="95" t="s">
        <v>399</v>
      </c>
      <c r="C35" s="215">
        <v>746225</v>
      </c>
      <c r="D35" s="159">
        <f>IFERROR(VLOOKUP(C35,Tabla_APL[[STOCKCODE]:[TYPE]],3,FALSE),"")</f>
        <v>10</v>
      </c>
      <c r="E35" s="105">
        <v>2</v>
      </c>
      <c r="F35" s="135">
        <f t="shared" si="4"/>
        <v>8</v>
      </c>
      <c r="G35" s="96" t="s">
        <v>529</v>
      </c>
      <c r="H35" s="170">
        <v>1</v>
      </c>
      <c r="I35" s="104">
        <f t="shared" si="5"/>
        <v>4.5454545454545456E-2</v>
      </c>
      <c r="J35" s="98">
        <v>40</v>
      </c>
      <c r="K35" s="137">
        <f t="shared" si="3"/>
        <v>43981</v>
      </c>
      <c r="L35" s="138">
        <v>0.3</v>
      </c>
      <c r="M35" s="100">
        <f t="shared" si="6"/>
        <v>1.3636363636363636E-2</v>
      </c>
      <c r="N35" s="109"/>
      <c r="O35" s="102"/>
      <c r="P35" s="101">
        <f t="shared" ca="1" si="7"/>
        <v>4.5454545454545456E-2</v>
      </c>
    </row>
    <row r="36" spans="2:16" outlineLevel="1" x14ac:dyDescent="0.25">
      <c r="B36" s="149" t="s">
        <v>400</v>
      </c>
      <c r="C36" s="150">
        <v>448068</v>
      </c>
      <c r="D36" s="159">
        <f>IFERROR(VLOOKUP(C36,Tabla_APL[[STOCKCODE]:[TYPE]],3,FALSE),"")</f>
        <v>11</v>
      </c>
      <c r="E36" s="160">
        <v>1</v>
      </c>
      <c r="F36" s="151">
        <f t="shared" si="4"/>
        <v>10</v>
      </c>
      <c r="G36" s="152" t="s">
        <v>530</v>
      </c>
      <c r="H36" s="170">
        <v>1</v>
      </c>
      <c r="I36" s="157">
        <f t="shared" si="5"/>
        <v>4.5454545454545456E-2</v>
      </c>
      <c r="J36" s="154">
        <v>40</v>
      </c>
      <c r="K36" s="155">
        <f t="shared" si="3"/>
        <v>43981</v>
      </c>
      <c r="L36" s="138">
        <v>0.3</v>
      </c>
      <c r="M36" s="156">
        <f t="shared" si="6"/>
        <v>1.3636363636363636E-2</v>
      </c>
      <c r="N36" s="113"/>
      <c r="O36" s="154"/>
      <c r="P36" s="157">
        <f t="shared" ca="1" si="7"/>
        <v>4.5454545454545456E-2</v>
      </c>
    </row>
    <row r="37" spans="2:16" outlineLevel="1" x14ac:dyDescent="0.25">
      <c r="B37" s="95" t="s">
        <v>401</v>
      </c>
      <c r="C37" s="105">
        <v>155903</v>
      </c>
      <c r="D37" s="159">
        <f>IFERROR(VLOOKUP(C37,Tabla_APL[[STOCKCODE]:[TYPE]],3,FALSE),"")</f>
        <v>8</v>
      </c>
      <c r="E37" s="105">
        <v>2</v>
      </c>
      <c r="F37" s="135">
        <f t="shared" si="4"/>
        <v>6</v>
      </c>
      <c r="G37" s="96" t="s">
        <v>1286</v>
      </c>
      <c r="H37" s="170">
        <v>1</v>
      </c>
      <c r="I37" s="104">
        <f t="shared" si="5"/>
        <v>4.5454545454545456E-2</v>
      </c>
      <c r="J37" s="98">
        <v>40</v>
      </c>
      <c r="K37" s="137">
        <f t="shared" si="3"/>
        <v>43981</v>
      </c>
      <c r="L37" s="138">
        <v>0.3</v>
      </c>
      <c r="M37" s="100">
        <f t="shared" si="6"/>
        <v>1.3636363636363636E-2</v>
      </c>
      <c r="N37" s="109"/>
      <c r="O37" s="102"/>
      <c r="P37" s="101">
        <f t="shared" ca="1" si="7"/>
        <v>4.5454545454545456E-2</v>
      </c>
    </row>
    <row r="38" spans="2:16" outlineLevel="1" x14ac:dyDescent="0.25">
      <c r="B38" s="149" t="s">
        <v>402</v>
      </c>
      <c r="C38" s="150">
        <v>6965</v>
      </c>
      <c r="D38" s="159">
        <f>IFERROR(VLOOKUP(C38,Tabla_APL[[STOCKCODE]:[TYPE]],3,FALSE),"")</f>
        <v>78</v>
      </c>
      <c r="E38" s="160">
        <v>2</v>
      </c>
      <c r="F38" s="151">
        <f t="shared" si="4"/>
        <v>76</v>
      </c>
      <c r="G38" s="152" t="s">
        <v>534</v>
      </c>
      <c r="H38" s="170">
        <v>1</v>
      </c>
      <c r="I38" s="157">
        <f t="shared" si="5"/>
        <v>4.5454545454545456E-2</v>
      </c>
      <c r="J38" s="154">
        <v>40</v>
      </c>
      <c r="K38" s="155">
        <f t="shared" si="3"/>
        <v>43981</v>
      </c>
      <c r="L38" s="138">
        <v>0.3</v>
      </c>
      <c r="M38" s="156">
        <f t="shared" si="6"/>
        <v>1.3636363636363636E-2</v>
      </c>
      <c r="N38" s="113"/>
      <c r="O38" s="154"/>
      <c r="P38" s="157">
        <f t="shared" ca="1" si="7"/>
        <v>4.5454545454545456E-2</v>
      </c>
    </row>
    <row r="39" spans="2:16" outlineLevel="1" x14ac:dyDescent="0.25">
      <c r="B39" s="95" t="s">
        <v>403</v>
      </c>
      <c r="C39" s="105">
        <v>155937</v>
      </c>
      <c r="D39" s="159">
        <f>IFERROR(VLOOKUP(C39,Tabla_APL[[STOCKCODE]:[TYPE]],3,FALSE),"")</f>
        <v>10</v>
      </c>
      <c r="E39" s="105">
        <v>2</v>
      </c>
      <c r="F39" s="135">
        <f t="shared" si="4"/>
        <v>8</v>
      </c>
      <c r="G39" s="96" t="s">
        <v>529</v>
      </c>
      <c r="H39" s="170">
        <v>1</v>
      </c>
      <c r="I39" s="104">
        <f t="shared" si="5"/>
        <v>4.5454545454545456E-2</v>
      </c>
      <c r="J39" s="98">
        <v>40</v>
      </c>
      <c r="K39" s="137">
        <f t="shared" si="3"/>
        <v>43981</v>
      </c>
      <c r="L39" s="138">
        <v>0.3</v>
      </c>
      <c r="M39" s="100">
        <f t="shared" si="6"/>
        <v>1.3636363636363636E-2</v>
      </c>
      <c r="N39" s="109"/>
      <c r="O39" s="102"/>
      <c r="P39" s="101">
        <f t="shared" ca="1" si="7"/>
        <v>4.5454545454545456E-2</v>
      </c>
    </row>
    <row r="40" spans="2:16" outlineLevel="1" x14ac:dyDescent="0.25">
      <c r="B40" s="95" t="s">
        <v>409</v>
      </c>
      <c r="C40" s="215">
        <v>746224</v>
      </c>
      <c r="D40" s="159">
        <f>IFERROR(VLOOKUP(C40,Tabla_APL[[STOCKCODE]:[TYPE]],3,FALSE),"")</f>
        <v>4</v>
      </c>
      <c r="E40" s="105">
        <v>1</v>
      </c>
      <c r="F40" s="135">
        <f t="shared" si="4"/>
        <v>3</v>
      </c>
      <c r="G40" s="96" t="s">
        <v>535</v>
      </c>
      <c r="H40" s="170">
        <v>1</v>
      </c>
      <c r="I40" s="104">
        <f t="shared" si="5"/>
        <v>4.5454545454545456E-2</v>
      </c>
      <c r="J40" s="98">
        <v>40</v>
      </c>
      <c r="K40" s="137">
        <f t="shared" si="3"/>
        <v>43981</v>
      </c>
      <c r="L40" s="138">
        <v>0.3</v>
      </c>
      <c r="M40" s="100">
        <f t="shared" si="6"/>
        <v>1.3636363636363636E-2</v>
      </c>
      <c r="N40" s="109"/>
      <c r="O40" s="102"/>
      <c r="P40" s="101">
        <f t="shared" ca="1" si="7"/>
        <v>4.5454545454545456E-2</v>
      </c>
    </row>
    <row r="41" spans="2:16" outlineLevel="1" x14ac:dyDescent="0.25">
      <c r="B41" s="95"/>
      <c r="C41" s="215">
        <v>155762</v>
      </c>
      <c r="D41" s="159">
        <f>IFERROR(VLOOKUP(C41,Tabla_APL[[STOCKCODE]:[TYPE]],3,FALSE),"")</f>
        <v>21</v>
      </c>
      <c r="E41" s="105"/>
      <c r="F41" s="135"/>
      <c r="G41" s="96" t="s">
        <v>1475</v>
      </c>
      <c r="H41" s="170"/>
      <c r="I41" s="104"/>
      <c r="J41" s="98"/>
      <c r="K41" s="137"/>
      <c r="L41" s="138"/>
      <c r="M41" s="100"/>
      <c r="N41" s="109"/>
      <c r="O41" s="102"/>
      <c r="P41" s="101"/>
    </row>
    <row r="42" spans="2:16" outlineLevel="1" x14ac:dyDescent="0.25">
      <c r="B42" s="149" t="s">
        <v>410</v>
      </c>
      <c r="C42" s="150">
        <v>155853</v>
      </c>
      <c r="D42" s="159">
        <f>IFERROR(VLOOKUP(C42,Tabla_APL[[STOCKCODE]:[TYPE]],3,FALSE),"")</f>
        <v>8</v>
      </c>
      <c r="E42" s="160">
        <v>2</v>
      </c>
      <c r="F42" s="151">
        <f t="shared" si="4"/>
        <v>6</v>
      </c>
      <c r="G42" s="152" t="s">
        <v>536</v>
      </c>
      <c r="H42" s="170">
        <v>1</v>
      </c>
      <c r="I42" s="157">
        <f t="shared" ref="I42:I53" si="8">IF(H42=1,1/SUM(H$31:H$53),0)</f>
        <v>4.5454545454545456E-2</v>
      </c>
      <c r="J42" s="154">
        <v>40</v>
      </c>
      <c r="K42" s="155">
        <f t="shared" si="3"/>
        <v>43981</v>
      </c>
      <c r="L42" s="138">
        <v>0.3</v>
      </c>
      <c r="M42" s="156">
        <f t="shared" si="6"/>
        <v>1.3636363636363636E-2</v>
      </c>
      <c r="N42" s="113"/>
      <c r="O42" s="154"/>
      <c r="P42" s="157">
        <f t="shared" ref="P42:P53" ca="1" si="9">(IF(K42&lt;=TODAY(),1,0))*I42</f>
        <v>4.5454545454545456E-2</v>
      </c>
    </row>
    <row r="43" spans="2:16" outlineLevel="1" x14ac:dyDescent="0.25">
      <c r="B43" s="95" t="s">
        <v>411</v>
      </c>
      <c r="C43" s="105">
        <v>155861</v>
      </c>
      <c r="D43" s="159">
        <f>IFERROR(VLOOKUP(C43,Tabla_APL[[STOCKCODE]:[TYPE]],3,FALSE),"")</f>
        <v>24</v>
      </c>
      <c r="E43" s="105">
        <v>2</v>
      </c>
      <c r="F43" s="135">
        <f t="shared" si="4"/>
        <v>22</v>
      </c>
      <c r="G43" s="96" t="s">
        <v>537</v>
      </c>
      <c r="H43" s="170">
        <v>1</v>
      </c>
      <c r="I43" s="104">
        <f t="shared" si="8"/>
        <v>4.5454545454545456E-2</v>
      </c>
      <c r="J43" s="98">
        <v>40</v>
      </c>
      <c r="K43" s="137">
        <f t="shared" si="3"/>
        <v>43981</v>
      </c>
      <c r="L43" s="138">
        <v>0.3</v>
      </c>
      <c r="M43" s="100">
        <f t="shared" si="6"/>
        <v>1.3636363636363636E-2</v>
      </c>
      <c r="N43" s="109"/>
      <c r="O43" s="102"/>
      <c r="P43" s="101">
        <f t="shared" ca="1" si="9"/>
        <v>4.5454545454545456E-2</v>
      </c>
    </row>
    <row r="44" spans="2:16" outlineLevel="1" x14ac:dyDescent="0.25">
      <c r="B44" s="149" t="s">
        <v>412</v>
      </c>
      <c r="C44" s="150">
        <v>158147</v>
      </c>
      <c r="D44" s="159">
        <f>IFERROR(VLOOKUP(C44,Tabla_APL[[STOCKCODE]:[TYPE]],3,FALSE),"")</f>
        <v>114</v>
      </c>
      <c r="E44" s="160">
        <v>17</v>
      </c>
      <c r="F44" s="151">
        <f t="shared" si="4"/>
        <v>97</v>
      </c>
      <c r="G44" s="152" t="s">
        <v>538</v>
      </c>
      <c r="H44" s="170">
        <v>1</v>
      </c>
      <c r="I44" s="157">
        <f t="shared" si="8"/>
        <v>4.5454545454545456E-2</v>
      </c>
      <c r="J44" s="154">
        <v>40</v>
      </c>
      <c r="K44" s="155">
        <f t="shared" si="3"/>
        <v>43981</v>
      </c>
      <c r="L44" s="138">
        <v>0.3</v>
      </c>
      <c r="M44" s="156">
        <f t="shared" si="6"/>
        <v>1.3636363636363636E-2</v>
      </c>
      <c r="N44" s="113"/>
      <c r="O44" s="154"/>
      <c r="P44" s="157">
        <f t="shared" ca="1" si="9"/>
        <v>4.5454545454545456E-2</v>
      </c>
    </row>
    <row r="45" spans="2:16" outlineLevel="1" x14ac:dyDescent="0.25">
      <c r="B45" s="95" t="s">
        <v>413</v>
      </c>
      <c r="C45" s="105">
        <v>158154</v>
      </c>
      <c r="D45" s="159">
        <f>IFERROR(VLOOKUP(C45,Tabla_APL[[STOCKCODE]:[TYPE]],3,FALSE),"")</f>
        <v>34</v>
      </c>
      <c r="E45" s="105">
        <v>4</v>
      </c>
      <c r="F45" s="135">
        <f t="shared" si="4"/>
        <v>30</v>
      </c>
      <c r="G45" s="96" t="s">
        <v>1287</v>
      </c>
      <c r="H45" s="170">
        <v>1</v>
      </c>
      <c r="I45" s="104">
        <f t="shared" si="8"/>
        <v>4.5454545454545456E-2</v>
      </c>
      <c r="J45" s="98">
        <v>40</v>
      </c>
      <c r="K45" s="137">
        <f t="shared" si="3"/>
        <v>43981</v>
      </c>
      <c r="L45" s="138">
        <v>0.3</v>
      </c>
      <c r="M45" s="100">
        <f t="shared" si="6"/>
        <v>1.3636363636363636E-2</v>
      </c>
      <c r="N45" s="109"/>
      <c r="O45" s="102"/>
      <c r="P45" s="101">
        <f t="shared" ca="1" si="9"/>
        <v>4.5454545454545456E-2</v>
      </c>
    </row>
    <row r="46" spans="2:16" outlineLevel="1" x14ac:dyDescent="0.25">
      <c r="B46" s="149" t="s">
        <v>414</v>
      </c>
      <c r="C46" s="150">
        <v>88831</v>
      </c>
      <c r="D46" s="159">
        <f>IFERROR(VLOOKUP(C46,Tabla_APL[[STOCKCODE]:[TYPE]],3,FALSE),"")</f>
        <v>9</v>
      </c>
      <c r="E46" s="160">
        <v>1</v>
      </c>
      <c r="F46" s="151">
        <f t="shared" si="4"/>
        <v>8</v>
      </c>
      <c r="G46" s="152" t="s">
        <v>539</v>
      </c>
      <c r="H46" s="170">
        <v>1</v>
      </c>
      <c r="I46" s="157">
        <f t="shared" si="8"/>
        <v>4.5454545454545456E-2</v>
      </c>
      <c r="J46" s="154">
        <v>40</v>
      </c>
      <c r="K46" s="155">
        <f t="shared" si="3"/>
        <v>43981</v>
      </c>
      <c r="L46" s="138">
        <v>0.3</v>
      </c>
      <c r="M46" s="156">
        <f t="shared" si="6"/>
        <v>1.3636363636363636E-2</v>
      </c>
      <c r="N46" s="113"/>
      <c r="O46" s="154"/>
      <c r="P46" s="157">
        <f t="shared" ca="1" si="9"/>
        <v>4.5454545454545456E-2</v>
      </c>
    </row>
    <row r="47" spans="2:16" outlineLevel="1" x14ac:dyDescent="0.25">
      <c r="B47" s="95" t="s">
        <v>415</v>
      </c>
      <c r="C47" s="215">
        <v>746223</v>
      </c>
      <c r="D47" s="159">
        <f>IFERROR(VLOOKUP(C47,Tabla_APL[[STOCKCODE]:[TYPE]],3,FALSE),"")</f>
        <v>2</v>
      </c>
      <c r="E47" s="105">
        <v>1</v>
      </c>
      <c r="F47" s="135">
        <f t="shared" si="4"/>
        <v>1</v>
      </c>
      <c r="G47" s="96" t="s">
        <v>1720</v>
      </c>
      <c r="H47" s="170">
        <v>1</v>
      </c>
      <c r="I47" s="104">
        <f t="shared" si="8"/>
        <v>4.5454545454545456E-2</v>
      </c>
      <c r="J47" s="98">
        <v>40</v>
      </c>
      <c r="K47" s="137">
        <f t="shared" si="3"/>
        <v>43981</v>
      </c>
      <c r="L47" s="138">
        <v>0.3</v>
      </c>
      <c r="M47" s="100">
        <f t="shared" si="6"/>
        <v>1.3636363636363636E-2</v>
      </c>
      <c r="N47" s="109"/>
      <c r="O47" s="102"/>
      <c r="P47" s="101">
        <f t="shared" ca="1" si="9"/>
        <v>4.5454545454545456E-2</v>
      </c>
    </row>
    <row r="48" spans="2:16" outlineLevel="1" x14ac:dyDescent="0.25">
      <c r="B48" s="149" t="s">
        <v>416</v>
      </c>
      <c r="C48" s="208">
        <v>746219</v>
      </c>
      <c r="D48" s="159">
        <f>IFERROR(VLOOKUP(C48,Tabla_APL[[STOCKCODE]:[TYPE]],3,FALSE),"")</f>
        <v>4</v>
      </c>
      <c r="E48" s="160">
        <v>1</v>
      </c>
      <c r="F48" s="151">
        <f t="shared" si="4"/>
        <v>3</v>
      </c>
      <c r="G48" s="152" t="s">
        <v>540</v>
      </c>
      <c r="H48" s="170">
        <v>1</v>
      </c>
      <c r="I48" s="157">
        <f t="shared" si="8"/>
        <v>4.5454545454545456E-2</v>
      </c>
      <c r="J48" s="154">
        <v>40</v>
      </c>
      <c r="K48" s="155">
        <f t="shared" si="3"/>
        <v>43981</v>
      </c>
      <c r="L48" s="138">
        <v>0.3</v>
      </c>
      <c r="M48" s="156">
        <f t="shared" si="6"/>
        <v>1.3636363636363636E-2</v>
      </c>
      <c r="N48" s="113"/>
      <c r="O48" s="154"/>
      <c r="P48" s="157">
        <f t="shared" ca="1" si="9"/>
        <v>4.5454545454545456E-2</v>
      </c>
    </row>
    <row r="49" spans="2:16" outlineLevel="1" x14ac:dyDescent="0.25">
      <c r="B49" s="95" t="s">
        <v>417</v>
      </c>
      <c r="C49" s="105">
        <v>123216</v>
      </c>
      <c r="D49" s="159">
        <f>IFERROR(VLOOKUP(C49,Tabla_APL[[STOCKCODE]:[TYPE]],3,FALSE),"")</f>
        <v>16</v>
      </c>
      <c r="E49" s="105">
        <v>1</v>
      </c>
      <c r="F49" s="135">
        <f t="shared" si="4"/>
        <v>15</v>
      </c>
      <c r="G49" s="96" t="s">
        <v>525</v>
      </c>
      <c r="H49" s="170">
        <v>1</v>
      </c>
      <c r="I49" s="104">
        <f t="shared" si="8"/>
        <v>4.5454545454545456E-2</v>
      </c>
      <c r="J49" s="98">
        <v>40</v>
      </c>
      <c r="K49" s="137">
        <f t="shared" si="3"/>
        <v>43981</v>
      </c>
      <c r="L49" s="138">
        <v>0.3</v>
      </c>
      <c r="M49" s="100">
        <f t="shared" si="6"/>
        <v>1.3636363636363636E-2</v>
      </c>
      <c r="N49" s="109"/>
      <c r="O49" s="102"/>
      <c r="P49" s="101">
        <f t="shared" ca="1" si="9"/>
        <v>4.5454545454545456E-2</v>
      </c>
    </row>
    <row r="50" spans="2:16" outlineLevel="1" x14ac:dyDescent="0.25">
      <c r="B50" s="149" t="s">
        <v>418</v>
      </c>
      <c r="C50" s="150">
        <v>559385</v>
      </c>
      <c r="D50" s="159">
        <f>IFERROR(VLOOKUP(C50,Tabla_APL[[STOCKCODE]:[TYPE]],3,FALSE),"")</f>
        <v>3</v>
      </c>
      <c r="E50" s="160">
        <v>2</v>
      </c>
      <c r="F50" s="151">
        <f t="shared" si="4"/>
        <v>1</v>
      </c>
      <c r="G50" s="152" t="s">
        <v>541</v>
      </c>
      <c r="H50" s="170">
        <v>1</v>
      </c>
      <c r="I50" s="157">
        <f t="shared" si="8"/>
        <v>4.5454545454545456E-2</v>
      </c>
      <c r="J50" s="154">
        <v>40</v>
      </c>
      <c r="K50" s="155">
        <f t="shared" si="3"/>
        <v>43981</v>
      </c>
      <c r="L50" s="138">
        <v>0.3</v>
      </c>
      <c r="M50" s="156">
        <f t="shared" si="6"/>
        <v>1.3636363636363636E-2</v>
      </c>
      <c r="N50" s="113"/>
      <c r="O50" s="154"/>
      <c r="P50" s="157">
        <f t="shared" ca="1" si="9"/>
        <v>4.5454545454545456E-2</v>
      </c>
    </row>
    <row r="51" spans="2:16" outlineLevel="1" x14ac:dyDescent="0.25">
      <c r="B51" s="95" t="s">
        <v>419</v>
      </c>
      <c r="C51" s="215">
        <v>746220</v>
      </c>
      <c r="D51" s="159">
        <f>IFERROR(VLOOKUP(C51,Tabla_APL[[STOCKCODE]:[TYPE]],3,FALSE),"")</f>
        <v>4</v>
      </c>
      <c r="E51" s="105">
        <v>1</v>
      </c>
      <c r="F51" s="135">
        <f t="shared" si="4"/>
        <v>3</v>
      </c>
      <c r="G51" s="96" t="s">
        <v>1724</v>
      </c>
      <c r="H51" s="170">
        <v>1</v>
      </c>
      <c r="I51" s="104">
        <f t="shared" si="8"/>
        <v>4.5454545454545456E-2</v>
      </c>
      <c r="J51" s="98">
        <v>40</v>
      </c>
      <c r="K51" s="137">
        <f t="shared" si="3"/>
        <v>43981</v>
      </c>
      <c r="L51" s="138">
        <v>0.3</v>
      </c>
      <c r="M51" s="100">
        <f t="shared" si="6"/>
        <v>1.3636363636363636E-2</v>
      </c>
      <c r="N51" s="109"/>
      <c r="O51" s="102"/>
      <c r="P51" s="101">
        <f t="shared" ca="1" si="9"/>
        <v>4.5454545454545456E-2</v>
      </c>
    </row>
    <row r="52" spans="2:16" outlineLevel="1" x14ac:dyDescent="0.25">
      <c r="B52" s="149" t="s">
        <v>420</v>
      </c>
      <c r="C52" s="150">
        <v>325316</v>
      </c>
      <c r="D52" s="159">
        <f>IFERROR(VLOOKUP(C52,Tabla_APL[[STOCKCODE]:[TYPE]],3,FALSE),"")</f>
        <v>1</v>
      </c>
      <c r="E52" s="160">
        <v>1</v>
      </c>
      <c r="F52" s="151">
        <f t="shared" si="4"/>
        <v>0</v>
      </c>
      <c r="G52" s="152" t="s">
        <v>542</v>
      </c>
      <c r="H52" s="170">
        <v>1</v>
      </c>
      <c r="I52" s="157">
        <f t="shared" si="8"/>
        <v>4.5454545454545456E-2</v>
      </c>
      <c r="J52" s="154">
        <v>40</v>
      </c>
      <c r="K52" s="155">
        <f t="shared" si="3"/>
        <v>43981</v>
      </c>
      <c r="L52" s="138">
        <v>0.3</v>
      </c>
      <c r="M52" s="156">
        <f t="shared" si="6"/>
        <v>1.3636363636363636E-2</v>
      </c>
      <c r="N52" s="113"/>
      <c r="O52" s="154"/>
      <c r="P52" s="157">
        <f t="shared" ca="1" si="9"/>
        <v>4.5454545454545456E-2</v>
      </c>
    </row>
    <row r="53" spans="2:16" outlineLevel="1" x14ac:dyDescent="0.25">
      <c r="B53" s="95" t="s">
        <v>421</v>
      </c>
      <c r="C53" s="220">
        <v>177899</v>
      </c>
      <c r="D53" s="159">
        <f>IFERROR(VLOOKUP(C53,Tabla_APL[[STOCKCODE]:[TYPE]],3,FALSE),"")</f>
        <v>2563</v>
      </c>
      <c r="E53" s="220">
        <v>10</v>
      </c>
      <c r="F53" s="221">
        <f t="shared" si="4"/>
        <v>2553</v>
      </c>
      <c r="G53" s="96" t="s">
        <v>543</v>
      </c>
      <c r="H53" s="170">
        <v>1</v>
      </c>
      <c r="I53" s="104">
        <f t="shared" si="8"/>
        <v>4.5454545454545456E-2</v>
      </c>
      <c r="J53" s="98">
        <v>40</v>
      </c>
      <c r="K53" s="137">
        <f t="shared" si="3"/>
        <v>43981</v>
      </c>
      <c r="L53" s="138">
        <v>0.3</v>
      </c>
      <c r="M53" s="100">
        <f t="shared" si="6"/>
        <v>1.3636363636363636E-2</v>
      </c>
      <c r="N53" s="109"/>
      <c r="O53" s="102"/>
      <c r="P53" s="101">
        <f t="shared" ca="1" si="9"/>
        <v>4.5454545454545456E-2</v>
      </c>
    </row>
    <row r="54" spans="2:16" ht="31.5" outlineLevel="1" x14ac:dyDescent="0.25">
      <c r="B54" s="213">
        <v>1.2</v>
      </c>
      <c r="C54" s="171" t="s">
        <v>335</v>
      </c>
      <c r="D54" s="184" t="s">
        <v>320</v>
      </c>
      <c r="E54" s="171" t="s">
        <v>319</v>
      </c>
      <c r="F54" s="171" t="s">
        <v>453</v>
      </c>
      <c r="G54" s="171" t="s">
        <v>544</v>
      </c>
      <c r="H54" s="171" t="s">
        <v>333</v>
      </c>
      <c r="I54" s="214">
        <f>SUM(I55:I72)</f>
        <v>1.0000000000000002</v>
      </c>
      <c r="J54" s="171" t="s">
        <v>299</v>
      </c>
      <c r="K54" s="171" t="s">
        <v>339</v>
      </c>
      <c r="L54" s="214">
        <f>AVERAGE(L55:L72)</f>
        <v>0.29999999999999993</v>
      </c>
      <c r="M54" s="214">
        <f>SUM(M55:M72)</f>
        <v>0.3</v>
      </c>
      <c r="N54" s="171" t="s">
        <v>340</v>
      </c>
      <c r="O54" s="171" t="s">
        <v>321</v>
      </c>
      <c r="P54" s="214">
        <f ca="1">SUM(P55:P72)</f>
        <v>1.0000000000000002</v>
      </c>
    </row>
    <row r="55" spans="2:16" outlineLevel="1" x14ac:dyDescent="0.25">
      <c r="B55" s="95" t="s">
        <v>545</v>
      </c>
      <c r="C55" s="222">
        <v>271460</v>
      </c>
      <c r="D55" s="222">
        <f>IFERROR(VLOOKUP(C29,Tabla_APL[[STOCKCODE]:[TYPE]],3,FALSE),"")</f>
        <v>4</v>
      </c>
      <c r="E55" s="222">
        <v>2</v>
      </c>
      <c r="F55" s="135">
        <f t="shared" si="4"/>
        <v>2</v>
      </c>
      <c r="G55" s="223" t="s">
        <v>546</v>
      </c>
      <c r="H55" s="170">
        <v>1</v>
      </c>
      <c r="I55" s="101">
        <f t="shared" ref="I55:I72" si="10">IF(H55=1,1/SUM(H$55:H$72),0)</f>
        <v>5.5555555555555552E-2</v>
      </c>
      <c r="J55" s="102">
        <v>30</v>
      </c>
      <c r="K55" s="137">
        <f t="shared" si="3"/>
        <v>43991</v>
      </c>
      <c r="L55" s="138">
        <v>0.3</v>
      </c>
      <c r="M55" s="100">
        <f t="shared" ref="M55:M72" si="11">I55*L55</f>
        <v>1.6666666666666666E-2</v>
      </c>
      <c r="N55" s="109"/>
      <c r="O55" s="102"/>
      <c r="P55" s="101">
        <f t="shared" ref="P55:P72" ca="1" si="12">(IF(K55&lt;=TODAY(),1,0))*I55</f>
        <v>5.5555555555555552E-2</v>
      </c>
    </row>
    <row r="56" spans="2:16" outlineLevel="1" x14ac:dyDescent="0.25">
      <c r="B56" s="149" t="s">
        <v>547</v>
      </c>
      <c r="C56" s="224">
        <v>648717</v>
      </c>
      <c r="D56" s="224">
        <f>IFERROR(VLOOKUP(C56,Tabla_APL[[STOCKCODE]:[TYPE]],3,FALSE),"")</f>
        <v>9</v>
      </c>
      <c r="E56" s="224">
        <v>2</v>
      </c>
      <c r="F56" s="151">
        <f t="shared" si="4"/>
        <v>7</v>
      </c>
      <c r="G56" s="225" t="s">
        <v>548</v>
      </c>
      <c r="H56" s="170">
        <v>1</v>
      </c>
      <c r="I56" s="157">
        <f t="shared" si="10"/>
        <v>5.5555555555555552E-2</v>
      </c>
      <c r="J56" s="154">
        <v>30</v>
      </c>
      <c r="K56" s="155">
        <f t="shared" si="3"/>
        <v>43991</v>
      </c>
      <c r="L56" s="138">
        <v>0.3</v>
      </c>
      <c r="M56" s="156">
        <f t="shared" si="11"/>
        <v>1.6666666666666666E-2</v>
      </c>
      <c r="N56" s="113"/>
      <c r="O56" s="154"/>
      <c r="P56" s="157">
        <f t="shared" ca="1" si="12"/>
        <v>5.5555555555555552E-2</v>
      </c>
    </row>
    <row r="57" spans="2:16" outlineLevel="1" x14ac:dyDescent="0.25">
      <c r="B57" s="95" t="s">
        <v>549</v>
      </c>
      <c r="C57" s="226">
        <v>287151</v>
      </c>
      <c r="D57" s="226">
        <f>IFERROR(VLOOKUP(C57,Tabla_APL[[STOCKCODE]:[TYPE]],3,FALSE),"")</f>
        <v>20</v>
      </c>
      <c r="E57" s="226">
        <v>2</v>
      </c>
      <c r="F57" s="135">
        <f t="shared" si="4"/>
        <v>18</v>
      </c>
      <c r="G57" s="223" t="s">
        <v>550</v>
      </c>
      <c r="H57" s="170">
        <v>1</v>
      </c>
      <c r="I57" s="101">
        <f t="shared" si="10"/>
        <v>5.5555555555555552E-2</v>
      </c>
      <c r="J57" s="102">
        <v>30</v>
      </c>
      <c r="K57" s="137">
        <f t="shared" si="3"/>
        <v>43991</v>
      </c>
      <c r="L57" s="138">
        <v>0.3</v>
      </c>
      <c r="M57" s="100">
        <f t="shared" si="11"/>
        <v>1.6666666666666666E-2</v>
      </c>
      <c r="N57" s="109"/>
      <c r="O57" s="102"/>
      <c r="P57" s="101">
        <f t="shared" ca="1" si="12"/>
        <v>5.5555555555555552E-2</v>
      </c>
    </row>
    <row r="58" spans="2:16" outlineLevel="1" x14ac:dyDescent="0.25">
      <c r="B58" s="149" t="s">
        <v>551</v>
      </c>
      <c r="C58" s="224">
        <v>274605</v>
      </c>
      <c r="D58" s="224">
        <f>IFERROR(VLOOKUP(C58,Tabla_APL[[STOCKCODE]:[TYPE]],3,FALSE),"")</f>
        <v>7</v>
      </c>
      <c r="E58" s="224">
        <v>4</v>
      </c>
      <c r="F58" s="151">
        <f t="shared" si="4"/>
        <v>3</v>
      </c>
      <c r="G58" s="225" t="s">
        <v>552</v>
      </c>
      <c r="H58" s="170">
        <v>1</v>
      </c>
      <c r="I58" s="157">
        <f t="shared" si="10"/>
        <v>5.5555555555555552E-2</v>
      </c>
      <c r="J58" s="154">
        <v>30</v>
      </c>
      <c r="K58" s="155">
        <f t="shared" si="3"/>
        <v>43991</v>
      </c>
      <c r="L58" s="138">
        <v>0.3</v>
      </c>
      <c r="M58" s="156">
        <f t="shared" si="11"/>
        <v>1.6666666666666666E-2</v>
      </c>
      <c r="N58" s="113"/>
      <c r="O58" s="154"/>
      <c r="P58" s="157">
        <f t="shared" ca="1" si="12"/>
        <v>5.5555555555555552E-2</v>
      </c>
    </row>
    <row r="59" spans="2:16" ht="31.5" outlineLevel="1" x14ac:dyDescent="0.25">
      <c r="B59" s="95" t="s">
        <v>553</v>
      </c>
      <c r="C59" s="226">
        <v>287169</v>
      </c>
      <c r="D59" s="226">
        <f>IFERROR(VLOOKUP(C59,Tabla_APL[[STOCKCODE]:[TYPE]],3,FALSE),"")</f>
        <v>30</v>
      </c>
      <c r="E59" s="226">
        <v>4</v>
      </c>
      <c r="F59" s="135">
        <f t="shared" si="4"/>
        <v>26</v>
      </c>
      <c r="G59" s="223" t="s">
        <v>554</v>
      </c>
      <c r="H59" s="170">
        <v>1</v>
      </c>
      <c r="I59" s="101">
        <f t="shared" si="10"/>
        <v>5.5555555555555552E-2</v>
      </c>
      <c r="J59" s="102">
        <v>30</v>
      </c>
      <c r="K59" s="137">
        <f t="shared" si="3"/>
        <v>43991</v>
      </c>
      <c r="L59" s="138">
        <v>0.3</v>
      </c>
      <c r="M59" s="100">
        <f t="shared" si="11"/>
        <v>1.6666666666666666E-2</v>
      </c>
      <c r="N59" s="109"/>
      <c r="O59" s="102"/>
      <c r="P59" s="101">
        <f t="shared" ca="1" si="12"/>
        <v>5.5555555555555552E-2</v>
      </c>
    </row>
    <row r="60" spans="2:16" outlineLevel="1" x14ac:dyDescent="0.25">
      <c r="B60" s="149" t="s">
        <v>555</v>
      </c>
      <c r="C60" s="224">
        <v>274613</v>
      </c>
      <c r="D60" s="224">
        <f>IFERROR(VLOOKUP(C60,Tabla_APL[[STOCKCODE]:[TYPE]],3,FALSE),"")</f>
        <v>24</v>
      </c>
      <c r="E60" s="224">
        <v>4</v>
      </c>
      <c r="F60" s="151">
        <f t="shared" si="4"/>
        <v>20</v>
      </c>
      <c r="G60" s="300" t="s">
        <v>556</v>
      </c>
      <c r="H60" s="170">
        <v>1</v>
      </c>
      <c r="I60" s="157">
        <f t="shared" si="10"/>
        <v>5.5555555555555552E-2</v>
      </c>
      <c r="J60" s="154">
        <v>30</v>
      </c>
      <c r="K60" s="155">
        <f t="shared" si="3"/>
        <v>43991</v>
      </c>
      <c r="L60" s="138">
        <v>0.3</v>
      </c>
      <c r="M60" s="156">
        <f t="shared" si="11"/>
        <v>1.6666666666666666E-2</v>
      </c>
      <c r="N60" s="113"/>
      <c r="O60" s="154"/>
      <c r="P60" s="157">
        <f t="shared" ca="1" si="12"/>
        <v>5.5555555555555552E-2</v>
      </c>
    </row>
    <row r="61" spans="2:16" ht="31.5" outlineLevel="1" x14ac:dyDescent="0.25">
      <c r="B61" s="95" t="s">
        <v>557</v>
      </c>
      <c r="C61" s="226">
        <v>274621</v>
      </c>
      <c r="D61" s="226">
        <f>IFERROR(VLOOKUP(C61,Tabla_APL[[STOCKCODE]:[TYPE]],3,FALSE),"")</f>
        <v>9</v>
      </c>
      <c r="E61" s="226">
        <v>2</v>
      </c>
      <c r="F61" s="135">
        <f t="shared" si="4"/>
        <v>7</v>
      </c>
      <c r="G61" s="223" t="s">
        <v>558</v>
      </c>
      <c r="H61" s="170">
        <v>1</v>
      </c>
      <c r="I61" s="101">
        <f t="shared" si="10"/>
        <v>5.5555555555555552E-2</v>
      </c>
      <c r="J61" s="102">
        <v>30</v>
      </c>
      <c r="K61" s="137">
        <f t="shared" si="3"/>
        <v>43991</v>
      </c>
      <c r="L61" s="138">
        <v>0.3</v>
      </c>
      <c r="M61" s="100">
        <f t="shared" si="11"/>
        <v>1.6666666666666666E-2</v>
      </c>
      <c r="N61" s="109"/>
      <c r="O61" s="102"/>
      <c r="P61" s="101">
        <f t="shared" ca="1" si="12"/>
        <v>5.5555555555555552E-2</v>
      </c>
    </row>
    <row r="62" spans="2:16" outlineLevel="1" x14ac:dyDescent="0.25">
      <c r="B62" s="149" t="s">
        <v>559</v>
      </c>
      <c r="C62" s="224">
        <v>271478</v>
      </c>
      <c r="D62" s="224">
        <f>IFERROR(VLOOKUP(C62,Tabla_APL[[STOCKCODE]:[TYPE]],3,FALSE),"")</f>
        <v>11</v>
      </c>
      <c r="E62" s="224">
        <v>2</v>
      </c>
      <c r="F62" s="151">
        <f t="shared" si="4"/>
        <v>9</v>
      </c>
      <c r="G62" s="225" t="s">
        <v>560</v>
      </c>
      <c r="H62" s="170">
        <v>1</v>
      </c>
      <c r="I62" s="157">
        <f t="shared" si="10"/>
        <v>5.5555555555555552E-2</v>
      </c>
      <c r="J62" s="154">
        <v>30</v>
      </c>
      <c r="K62" s="155">
        <f t="shared" si="3"/>
        <v>43991</v>
      </c>
      <c r="L62" s="138">
        <v>0.3</v>
      </c>
      <c r="M62" s="156">
        <f t="shared" si="11"/>
        <v>1.6666666666666666E-2</v>
      </c>
      <c r="N62" s="113"/>
      <c r="O62" s="154"/>
      <c r="P62" s="157">
        <f t="shared" ca="1" si="12"/>
        <v>5.5555555555555552E-2</v>
      </c>
    </row>
    <row r="63" spans="2:16" outlineLevel="1" x14ac:dyDescent="0.25">
      <c r="B63" s="95" t="s">
        <v>561</v>
      </c>
      <c r="C63" s="226">
        <v>395137</v>
      </c>
      <c r="D63" s="226">
        <f>IFERROR(VLOOKUP(C63,Tabla_APL[[STOCKCODE]:[TYPE]],3,FALSE),"")</f>
        <v>9</v>
      </c>
      <c r="E63" s="226">
        <v>2</v>
      </c>
      <c r="F63" s="135">
        <f t="shared" si="4"/>
        <v>7</v>
      </c>
      <c r="G63" s="223" t="s">
        <v>562</v>
      </c>
      <c r="H63" s="170">
        <v>1</v>
      </c>
      <c r="I63" s="101">
        <f t="shared" si="10"/>
        <v>5.5555555555555552E-2</v>
      </c>
      <c r="J63" s="102">
        <v>30</v>
      </c>
      <c r="K63" s="137">
        <f t="shared" si="3"/>
        <v>43991</v>
      </c>
      <c r="L63" s="138">
        <v>0.3</v>
      </c>
      <c r="M63" s="100">
        <f t="shared" si="11"/>
        <v>1.6666666666666666E-2</v>
      </c>
      <c r="N63" s="109"/>
      <c r="O63" s="102"/>
      <c r="P63" s="101">
        <f t="shared" ca="1" si="12"/>
        <v>5.5555555555555552E-2</v>
      </c>
    </row>
    <row r="64" spans="2:16" outlineLevel="1" x14ac:dyDescent="0.25">
      <c r="B64" s="149" t="s">
        <v>563</v>
      </c>
      <c r="C64" s="224">
        <v>73684</v>
      </c>
      <c r="D64" s="224">
        <f>IFERROR(VLOOKUP(C64,Tabla_APL[[STOCKCODE]:[TYPE]],3,FALSE),"")</f>
        <v>15</v>
      </c>
      <c r="E64" s="224">
        <v>2</v>
      </c>
      <c r="F64" s="151">
        <f t="shared" si="4"/>
        <v>13</v>
      </c>
      <c r="G64" s="225" t="s">
        <v>564</v>
      </c>
      <c r="H64" s="170">
        <v>1</v>
      </c>
      <c r="I64" s="157">
        <f t="shared" si="10"/>
        <v>5.5555555555555552E-2</v>
      </c>
      <c r="J64" s="154">
        <v>30</v>
      </c>
      <c r="K64" s="155">
        <f t="shared" si="3"/>
        <v>43991</v>
      </c>
      <c r="L64" s="138">
        <v>0.3</v>
      </c>
      <c r="M64" s="156">
        <f t="shared" si="11"/>
        <v>1.6666666666666666E-2</v>
      </c>
      <c r="N64" s="113"/>
      <c r="O64" s="154"/>
      <c r="P64" s="157">
        <f t="shared" ca="1" si="12"/>
        <v>5.5555555555555552E-2</v>
      </c>
    </row>
    <row r="65" spans="2:16" outlineLevel="1" x14ac:dyDescent="0.25">
      <c r="B65" s="95" t="s">
        <v>565</v>
      </c>
      <c r="C65" s="226">
        <v>271411</v>
      </c>
      <c r="D65" s="226">
        <f>IFERROR(VLOOKUP(C65,Tabla_APL[[STOCKCODE]:[TYPE]],3,FALSE),"")</f>
        <v>7</v>
      </c>
      <c r="E65" s="226">
        <v>1</v>
      </c>
      <c r="F65" s="135">
        <f t="shared" si="4"/>
        <v>6</v>
      </c>
      <c r="G65" s="223" t="s">
        <v>566</v>
      </c>
      <c r="H65" s="170">
        <v>1</v>
      </c>
      <c r="I65" s="101">
        <f t="shared" si="10"/>
        <v>5.5555555555555552E-2</v>
      </c>
      <c r="J65" s="102">
        <v>30</v>
      </c>
      <c r="K65" s="137">
        <f t="shared" si="3"/>
        <v>43991</v>
      </c>
      <c r="L65" s="138">
        <v>0.3</v>
      </c>
      <c r="M65" s="100">
        <f t="shared" si="11"/>
        <v>1.6666666666666666E-2</v>
      </c>
      <c r="N65" s="109"/>
      <c r="O65" s="102"/>
      <c r="P65" s="101">
        <f t="shared" ca="1" si="12"/>
        <v>5.5555555555555552E-2</v>
      </c>
    </row>
    <row r="66" spans="2:16" outlineLevel="1" x14ac:dyDescent="0.25">
      <c r="B66" s="149" t="s">
        <v>567</v>
      </c>
      <c r="C66" s="224">
        <v>274597</v>
      </c>
      <c r="D66" s="224">
        <f>IFERROR(VLOOKUP(C66,Tabla_APL[[STOCKCODE]:[TYPE]],3,FALSE),"")</f>
        <v>18</v>
      </c>
      <c r="E66" s="224">
        <v>2</v>
      </c>
      <c r="F66" s="151">
        <f t="shared" si="4"/>
        <v>16</v>
      </c>
      <c r="G66" s="225" t="s">
        <v>550</v>
      </c>
      <c r="H66" s="170">
        <v>1</v>
      </c>
      <c r="I66" s="157">
        <f t="shared" si="10"/>
        <v>5.5555555555555552E-2</v>
      </c>
      <c r="J66" s="154">
        <v>30</v>
      </c>
      <c r="K66" s="155">
        <f t="shared" si="3"/>
        <v>43991</v>
      </c>
      <c r="L66" s="138">
        <v>0.3</v>
      </c>
      <c r="M66" s="156">
        <f t="shared" si="11"/>
        <v>1.6666666666666666E-2</v>
      </c>
      <c r="N66" s="113"/>
      <c r="O66" s="154"/>
      <c r="P66" s="157">
        <f t="shared" ca="1" si="12"/>
        <v>5.5555555555555552E-2</v>
      </c>
    </row>
    <row r="67" spans="2:16" s="106" customFormat="1" outlineLevel="1" x14ac:dyDescent="0.25">
      <c r="B67" s="95" t="s">
        <v>568</v>
      </c>
      <c r="C67" s="226">
        <v>306035</v>
      </c>
      <c r="D67" s="226">
        <f>IFERROR(VLOOKUP(C67,Tabla_APL[[STOCKCODE]:[TYPE]],3,FALSE),"")</f>
        <v>9</v>
      </c>
      <c r="E67" s="226">
        <v>4</v>
      </c>
      <c r="F67" s="135">
        <f t="shared" si="4"/>
        <v>5</v>
      </c>
      <c r="G67" s="223" t="s">
        <v>569</v>
      </c>
      <c r="H67" s="170">
        <v>1</v>
      </c>
      <c r="I67" s="101">
        <f t="shared" si="10"/>
        <v>5.5555555555555552E-2</v>
      </c>
      <c r="J67" s="102">
        <v>30</v>
      </c>
      <c r="K67" s="137">
        <f t="shared" si="3"/>
        <v>43991</v>
      </c>
      <c r="L67" s="138">
        <v>0.3</v>
      </c>
      <c r="M67" s="100">
        <f t="shared" si="11"/>
        <v>1.6666666666666666E-2</v>
      </c>
      <c r="N67" s="109"/>
      <c r="O67" s="102"/>
      <c r="P67" s="101">
        <f t="shared" ca="1" si="12"/>
        <v>5.5555555555555552E-2</v>
      </c>
    </row>
    <row r="68" spans="2:16" outlineLevel="1" x14ac:dyDescent="0.25">
      <c r="B68" s="149" t="s">
        <v>570</v>
      </c>
      <c r="C68" s="224">
        <v>271452</v>
      </c>
      <c r="D68" s="224">
        <f>IFERROR(VLOOKUP(C68,Tabla_APL[[STOCKCODE]:[TYPE]],3,FALSE),"")</f>
        <v>10</v>
      </c>
      <c r="E68" s="224">
        <v>2</v>
      </c>
      <c r="F68" s="151">
        <f t="shared" si="4"/>
        <v>8</v>
      </c>
      <c r="G68" s="225" t="s">
        <v>571</v>
      </c>
      <c r="H68" s="170">
        <v>1</v>
      </c>
      <c r="I68" s="157">
        <f t="shared" si="10"/>
        <v>5.5555555555555552E-2</v>
      </c>
      <c r="J68" s="154">
        <v>30</v>
      </c>
      <c r="K68" s="155">
        <f t="shared" si="3"/>
        <v>43991</v>
      </c>
      <c r="L68" s="138">
        <v>0.3</v>
      </c>
      <c r="M68" s="156">
        <f t="shared" si="11"/>
        <v>1.6666666666666666E-2</v>
      </c>
      <c r="N68" s="113"/>
      <c r="O68" s="154"/>
      <c r="P68" s="157">
        <f t="shared" ca="1" si="12"/>
        <v>5.5555555555555552E-2</v>
      </c>
    </row>
    <row r="69" spans="2:16" outlineLevel="1" x14ac:dyDescent="0.25">
      <c r="B69" s="95" t="s">
        <v>572</v>
      </c>
      <c r="C69" s="226">
        <v>395129</v>
      </c>
      <c r="D69" s="226">
        <f>IFERROR(VLOOKUP(C69,Tabla_APL[[STOCKCODE]:[TYPE]],3,FALSE),"")</f>
        <v>12</v>
      </c>
      <c r="E69" s="226">
        <v>2</v>
      </c>
      <c r="F69" s="135">
        <f t="shared" si="4"/>
        <v>10</v>
      </c>
      <c r="G69" s="223" t="s">
        <v>573</v>
      </c>
      <c r="H69" s="170">
        <v>1</v>
      </c>
      <c r="I69" s="101">
        <f t="shared" si="10"/>
        <v>5.5555555555555552E-2</v>
      </c>
      <c r="J69" s="102">
        <v>30</v>
      </c>
      <c r="K69" s="137">
        <f t="shared" si="3"/>
        <v>43991</v>
      </c>
      <c r="L69" s="138">
        <v>0.3</v>
      </c>
      <c r="M69" s="100">
        <f t="shared" si="11"/>
        <v>1.6666666666666666E-2</v>
      </c>
      <c r="N69" s="109"/>
      <c r="O69" s="102"/>
      <c r="P69" s="101">
        <f t="shared" ca="1" si="12"/>
        <v>5.5555555555555552E-2</v>
      </c>
    </row>
    <row r="70" spans="2:16" outlineLevel="1" x14ac:dyDescent="0.25">
      <c r="B70" s="149" t="s">
        <v>574</v>
      </c>
      <c r="C70" s="224">
        <v>274639</v>
      </c>
      <c r="D70" s="224">
        <f>IFERROR(VLOOKUP(C70,Tabla_APL[[STOCKCODE]:[TYPE]],3,FALSE),"")</f>
        <v>16</v>
      </c>
      <c r="E70" s="224">
        <v>4</v>
      </c>
      <c r="F70" s="151">
        <f t="shared" si="4"/>
        <v>12</v>
      </c>
      <c r="G70" s="225" t="s">
        <v>575</v>
      </c>
      <c r="H70" s="170">
        <v>1</v>
      </c>
      <c r="I70" s="157">
        <f t="shared" si="10"/>
        <v>5.5555555555555552E-2</v>
      </c>
      <c r="J70" s="154">
        <v>30</v>
      </c>
      <c r="K70" s="155">
        <f t="shared" si="3"/>
        <v>43991</v>
      </c>
      <c r="L70" s="138">
        <v>0.3</v>
      </c>
      <c r="M70" s="156">
        <f t="shared" si="11"/>
        <v>1.6666666666666666E-2</v>
      </c>
      <c r="N70" s="113"/>
      <c r="O70" s="154"/>
      <c r="P70" s="157">
        <f t="shared" ca="1" si="12"/>
        <v>5.5555555555555552E-2</v>
      </c>
    </row>
    <row r="71" spans="2:16" outlineLevel="1" x14ac:dyDescent="0.25">
      <c r="B71" s="95" t="s">
        <v>576</v>
      </c>
      <c r="C71" s="226">
        <v>140707</v>
      </c>
      <c r="D71" s="226">
        <f>IFERROR(VLOOKUP(C71,Tabla_APL[[STOCKCODE]:[TYPE]],3,FALSE),"")</f>
        <v>10</v>
      </c>
      <c r="E71" s="226">
        <v>2</v>
      </c>
      <c r="F71" s="135">
        <f t="shared" si="4"/>
        <v>8</v>
      </c>
      <c r="G71" s="223" t="s">
        <v>577</v>
      </c>
      <c r="H71" s="170">
        <v>1</v>
      </c>
      <c r="I71" s="101">
        <f t="shared" si="10"/>
        <v>5.5555555555555552E-2</v>
      </c>
      <c r="J71" s="102">
        <v>30</v>
      </c>
      <c r="K71" s="137">
        <f t="shared" si="3"/>
        <v>43991</v>
      </c>
      <c r="L71" s="138">
        <v>0.3</v>
      </c>
      <c r="M71" s="100">
        <f t="shared" si="11"/>
        <v>1.6666666666666666E-2</v>
      </c>
      <c r="N71" s="109"/>
      <c r="O71" s="102"/>
      <c r="P71" s="101">
        <f t="shared" ca="1" si="12"/>
        <v>5.5555555555555552E-2</v>
      </c>
    </row>
    <row r="72" spans="2:16" outlineLevel="1" x14ac:dyDescent="0.25">
      <c r="B72" s="149" t="s">
        <v>578</v>
      </c>
      <c r="C72" s="227">
        <v>140715</v>
      </c>
      <c r="D72" s="227">
        <f>IFERROR(VLOOKUP(C72,Tabla_APL[[STOCKCODE]:[TYPE]],3,FALSE),"")</f>
        <v>16</v>
      </c>
      <c r="E72" s="227">
        <v>2</v>
      </c>
      <c r="F72" s="212">
        <f t="shared" si="4"/>
        <v>14</v>
      </c>
      <c r="G72" s="225" t="s">
        <v>579</v>
      </c>
      <c r="H72" s="170">
        <v>1</v>
      </c>
      <c r="I72" s="157">
        <f t="shared" si="10"/>
        <v>5.5555555555555552E-2</v>
      </c>
      <c r="J72" s="154">
        <v>30</v>
      </c>
      <c r="K72" s="155">
        <f t="shared" si="3"/>
        <v>43991</v>
      </c>
      <c r="L72" s="138">
        <v>0.3</v>
      </c>
      <c r="M72" s="156">
        <f t="shared" si="11"/>
        <v>1.6666666666666666E-2</v>
      </c>
      <c r="N72" s="113"/>
      <c r="O72" s="154"/>
      <c r="P72" s="157">
        <f t="shared" ca="1" si="12"/>
        <v>5.5555555555555552E-2</v>
      </c>
    </row>
    <row r="73" spans="2:16" ht="31.5" outlineLevel="1" x14ac:dyDescent="0.25">
      <c r="B73" s="213">
        <v>1.3</v>
      </c>
      <c r="C73" s="171" t="s">
        <v>335</v>
      </c>
      <c r="D73" s="184" t="s">
        <v>320</v>
      </c>
      <c r="E73" s="171" t="s">
        <v>319</v>
      </c>
      <c r="F73" s="171" t="s">
        <v>453</v>
      </c>
      <c r="G73" s="171" t="s">
        <v>580</v>
      </c>
      <c r="H73" s="171" t="s">
        <v>333</v>
      </c>
      <c r="I73" s="214">
        <f>SUM(I74:I87)</f>
        <v>0.85714285714285698</v>
      </c>
      <c r="J73" s="171" t="s">
        <v>299</v>
      </c>
      <c r="K73" s="171" t="s">
        <v>339</v>
      </c>
      <c r="L73" s="214">
        <f>AVERAGE(L74:L85)</f>
        <v>0.22500000000000001</v>
      </c>
      <c r="M73" s="214">
        <f>SUM(M74:M85)</f>
        <v>0.25714285714285712</v>
      </c>
      <c r="N73" s="171" t="s">
        <v>340</v>
      </c>
      <c r="O73" s="171" t="s">
        <v>321</v>
      </c>
      <c r="P73" s="214">
        <f ca="1">SUM(P74:P86)</f>
        <v>0.85714285714285698</v>
      </c>
    </row>
    <row r="74" spans="2:16" outlineLevel="1" x14ac:dyDescent="0.25">
      <c r="B74" s="95" t="s">
        <v>581</v>
      </c>
      <c r="C74" s="228">
        <v>325316</v>
      </c>
      <c r="D74" s="111">
        <f>IFERROR(VLOOKUP(C74,Tabla_APL[[STOCKCODE]:[TYPE]],3,FALSE),"")</f>
        <v>1</v>
      </c>
      <c r="E74" s="111">
        <v>1</v>
      </c>
      <c r="F74" s="135">
        <f t="shared" si="4"/>
        <v>0</v>
      </c>
      <c r="G74" s="229" t="s">
        <v>582</v>
      </c>
      <c r="H74" s="170">
        <v>1</v>
      </c>
      <c r="I74" s="101">
        <f>IF(H74=1,1/SUM(H$74:H$87),0)</f>
        <v>0.14285714285714285</v>
      </c>
      <c r="J74" s="230">
        <v>30</v>
      </c>
      <c r="K74" s="137">
        <f t="shared" si="3"/>
        <v>43991</v>
      </c>
      <c r="L74" s="138">
        <v>0.3</v>
      </c>
      <c r="M74" s="231">
        <f t="shared" ref="M74:M87" si="13">I74*L74</f>
        <v>4.2857142857142851E-2</v>
      </c>
      <c r="N74" s="98"/>
      <c r="O74" s="98"/>
      <c r="P74" s="101">
        <f ca="1">(IF(K74&lt;=TODAY(),1,0))*I74</f>
        <v>0.14285714285714285</v>
      </c>
    </row>
    <row r="75" spans="2:16" outlineLevel="1" x14ac:dyDescent="0.25">
      <c r="B75" s="149" t="s">
        <v>583</v>
      </c>
      <c r="C75" s="164">
        <v>176123</v>
      </c>
      <c r="D75" s="164">
        <f>IFERROR(VLOOKUP(C75,Tabla_APL[[STOCKCODE]:[TYPE]],3,FALSE),"")</f>
        <v>14</v>
      </c>
      <c r="E75" s="164">
        <v>3</v>
      </c>
      <c r="F75" s="151">
        <f t="shared" si="4"/>
        <v>11</v>
      </c>
      <c r="G75" s="232" t="s">
        <v>584</v>
      </c>
      <c r="H75" s="170">
        <v>1</v>
      </c>
      <c r="I75" s="157">
        <f t="shared" ref="I75:I87" si="14">IF(H75=1,1/SUM(H$74:H$87),0)</f>
        <v>0.14285714285714285</v>
      </c>
      <c r="J75" s="114">
        <v>30</v>
      </c>
      <c r="K75" s="155">
        <f t="shared" si="3"/>
        <v>43991</v>
      </c>
      <c r="L75" s="138">
        <v>0.3</v>
      </c>
      <c r="M75" s="233">
        <f t="shared" si="13"/>
        <v>4.2857142857142851E-2</v>
      </c>
      <c r="N75" s="154"/>
      <c r="O75" s="154"/>
      <c r="P75" s="157">
        <f ca="1">(IF(K75&lt;=TODAY(),1,0))*I75</f>
        <v>0.14285714285714285</v>
      </c>
    </row>
    <row r="76" spans="2:16" outlineLevel="1" x14ac:dyDescent="0.25">
      <c r="B76" s="95" t="s">
        <v>585</v>
      </c>
      <c r="C76" s="234">
        <v>746217</v>
      </c>
      <c r="D76" s="107">
        <f>IFERROR(VLOOKUP(C76,Tabla_APL[[STOCKCODE]:[TYPE]],3,FALSE),"")</f>
        <v>23</v>
      </c>
      <c r="E76" s="107">
        <v>4</v>
      </c>
      <c r="F76" s="135">
        <f t="shared" si="4"/>
        <v>19</v>
      </c>
      <c r="G76" s="229" t="s">
        <v>586</v>
      </c>
      <c r="H76" s="170">
        <v>1</v>
      </c>
      <c r="I76" s="101">
        <f t="shared" si="14"/>
        <v>0.14285714285714285</v>
      </c>
      <c r="J76" s="230">
        <v>30</v>
      </c>
      <c r="K76" s="137">
        <f t="shared" si="3"/>
        <v>43991</v>
      </c>
      <c r="L76" s="138">
        <v>0.3</v>
      </c>
      <c r="M76" s="231">
        <f t="shared" si="13"/>
        <v>4.2857142857142851E-2</v>
      </c>
      <c r="N76" s="98"/>
      <c r="O76" s="98"/>
      <c r="P76" s="101">
        <f ca="1">(IF(K76&lt;=TODAY(),1,0))*I76</f>
        <v>0.14285714285714285</v>
      </c>
    </row>
    <row r="77" spans="2:16" outlineLevel="1" x14ac:dyDescent="0.25">
      <c r="B77" s="149" t="s">
        <v>587</v>
      </c>
      <c r="C77" s="445">
        <v>746197</v>
      </c>
      <c r="D77" s="164">
        <f>IFERROR(VLOOKUP(C77,Tabla_APL[[STOCKCODE]:[TYPE]],3,FALSE),"")</f>
        <v>0</v>
      </c>
      <c r="E77" s="164">
        <v>1</v>
      </c>
      <c r="F77" s="151">
        <f t="shared" si="4"/>
        <v>-1</v>
      </c>
      <c r="G77" s="237" t="s">
        <v>1285</v>
      </c>
      <c r="H77" s="170">
        <v>1</v>
      </c>
      <c r="I77" s="157">
        <f t="shared" si="14"/>
        <v>0.14285714285714285</v>
      </c>
      <c r="J77" s="114">
        <v>30</v>
      </c>
      <c r="K77" s="155">
        <f t="shared" si="3"/>
        <v>43991</v>
      </c>
      <c r="L77" s="138">
        <v>0.3</v>
      </c>
      <c r="M77" s="233">
        <f t="shared" si="13"/>
        <v>4.2857142857142851E-2</v>
      </c>
      <c r="N77" s="154"/>
      <c r="O77" s="154"/>
      <c r="P77" s="157">
        <f ca="1">(IF(K77&lt;=TODAY(),1,0))*I77</f>
        <v>0.14285714285714285</v>
      </c>
    </row>
    <row r="78" spans="2:16" ht="31.5" outlineLevel="1" x14ac:dyDescent="0.25">
      <c r="B78" s="95" t="s">
        <v>588</v>
      </c>
      <c r="C78" s="234">
        <v>746510</v>
      </c>
      <c r="D78" s="164" t="str">
        <f>IFERROR(VLOOKUP(C78,Tabla_APL[[STOCKCODE]:[TYPE]],3,FALSE),"")</f>
        <v/>
      </c>
      <c r="E78" s="164"/>
      <c r="F78" s="151" t="e">
        <f t="shared" si="4"/>
        <v>#VALUE!</v>
      </c>
      <c r="G78" s="232" t="s">
        <v>1473</v>
      </c>
      <c r="H78" s="170"/>
      <c r="I78" s="157"/>
      <c r="J78" s="114"/>
      <c r="K78" s="155"/>
      <c r="L78" s="138"/>
      <c r="M78" s="233"/>
      <c r="N78" s="154"/>
      <c r="O78" s="154"/>
      <c r="P78" s="157"/>
    </row>
    <row r="79" spans="2:16" outlineLevel="1" x14ac:dyDescent="0.25">
      <c r="B79" s="149" t="s">
        <v>590</v>
      </c>
      <c r="C79" s="234">
        <v>746199</v>
      </c>
      <c r="D79" s="164" t="str">
        <f>IFERROR(VLOOKUP(C79,Tabla_APL[[STOCKCODE]:[TYPE]],3,FALSE),"")</f>
        <v/>
      </c>
      <c r="E79" s="164"/>
      <c r="F79" s="151" t="e">
        <f t="shared" si="4"/>
        <v>#VALUE!</v>
      </c>
      <c r="G79" s="232" t="s">
        <v>1474</v>
      </c>
      <c r="H79" s="170"/>
      <c r="I79" s="157"/>
      <c r="J79" s="114"/>
      <c r="K79" s="155"/>
      <c r="L79" s="138"/>
      <c r="M79" s="233"/>
      <c r="N79" s="154"/>
      <c r="O79" s="154"/>
      <c r="P79" s="157"/>
    </row>
    <row r="80" spans="2:16" outlineLevel="1" x14ac:dyDescent="0.25">
      <c r="B80" s="95" t="s">
        <v>593</v>
      </c>
      <c r="C80" s="234">
        <v>527432</v>
      </c>
      <c r="D80" s="164" t="str">
        <f>IFERROR(VLOOKUP(C80,Tabla_APL[[STOCKCODE]:[TYPE]],3,FALSE),"")</f>
        <v/>
      </c>
      <c r="E80" s="164"/>
      <c r="F80" s="151" t="e">
        <f t="shared" si="4"/>
        <v>#VALUE!</v>
      </c>
      <c r="G80" s="232" t="s">
        <v>1293</v>
      </c>
      <c r="H80" s="170"/>
      <c r="I80" s="157"/>
      <c r="J80" s="114"/>
      <c r="K80" s="155"/>
      <c r="L80" s="138"/>
      <c r="M80" s="233"/>
      <c r="N80" s="154"/>
      <c r="O80" s="154"/>
      <c r="P80" s="157"/>
    </row>
    <row r="81" spans="2:16" outlineLevel="1" x14ac:dyDescent="0.25">
      <c r="B81" s="149" t="s">
        <v>595</v>
      </c>
      <c r="C81" s="234">
        <v>88864</v>
      </c>
      <c r="D81" s="164">
        <f>IFERROR(VLOOKUP(C81,Tabla_APL[[STOCKCODE]:[TYPE]],3,FALSE),"")</f>
        <v>18</v>
      </c>
      <c r="E81" s="164">
        <v>2</v>
      </c>
      <c r="F81" s="151">
        <f t="shared" si="4"/>
        <v>16</v>
      </c>
      <c r="G81" s="232" t="s">
        <v>1470</v>
      </c>
      <c r="H81" s="170">
        <v>1</v>
      </c>
      <c r="I81" s="157"/>
      <c r="J81" s="114"/>
      <c r="K81" s="155"/>
      <c r="L81" s="138"/>
      <c r="M81" s="233"/>
      <c r="N81" s="154"/>
      <c r="O81" s="154"/>
      <c r="P81" s="157"/>
    </row>
    <row r="82" spans="2:16" outlineLevel="1" x14ac:dyDescent="0.25">
      <c r="B82" s="95" t="s">
        <v>597</v>
      </c>
      <c r="C82" s="235">
        <v>337113</v>
      </c>
      <c r="D82" s="164">
        <f>IFERROR(VLOOKUP(C82,Tabla_APL[[STOCKCODE]:[TYPE]],3,FALSE),"")</f>
        <v>6</v>
      </c>
      <c r="E82" s="107">
        <v>1</v>
      </c>
      <c r="F82" s="135">
        <f t="shared" si="4"/>
        <v>5</v>
      </c>
      <c r="G82" s="229" t="s">
        <v>589</v>
      </c>
      <c r="H82" s="170">
        <v>1</v>
      </c>
      <c r="I82" s="101">
        <f t="shared" si="14"/>
        <v>0.14285714285714285</v>
      </c>
      <c r="J82" s="230">
        <v>30</v>
      </c>
      <c r="K82" s="137">
        <f t="shared" si="3"/>
        <v>43991</v>
      </c>
      <c r="L82" s="138">
        <v>0.3</v>
      </c>
      <c r="M82" s="231">
        <f t="shared" si="13"/>
        <v>4.2857142857142851E-2</v>
      </c>
      <c r="N82" s="98"/>
      <c r="O82" s="98"/>
      <c r="P82" s="101">
        <f t="shared" ref="P82:P87" ca="1" si="15">(IF(K82&lt;=TODAY(),1,0))*I82</f>
        <v>0.14285714285714285</v>
      </c>
    </row>
    <row r="83" spans="2:16" outlineLevel="1" x14ac:dyDescent="0.25">
      <c r="B83" s="149" t="s">
        <v>599</v>
      </c>
      <c r="C83" s="164">
        <v>439661</v>
      </c>
      <c r="D83" s="164">
        <f>IFERROR(VLOOKUP(C83,Tabla_APL[[STOCKCODE]:[TYPE]],3,FALSE),"")</f>
        <v>0</v>
      </c>
      <c r="E83" s="164">
        <v>1</v>
      </c>
      <c r="F83" s="151">
        <f t="shared" si="4"/>
        <v>-1</v>
      </c>
      <c r="G83" s="232" t="s">
        <v>591</v>
      </c>
      <c r="H83" s="170">
        <v>0</v>
      </c>
      <c r="I83" s="157">
        <f t="shared" si="14"/>
        <v>0</v>
      </c>
      <c r="J83" s="114">
        <v>30</v>
      </c>
      <c r="K83" s="155">
        <f t="shared" ref="K83:K101" si="16">$G$7-J83</f>
        <v>43991</v>
      </c>
      <c r="L83" s="138">
        <v>0</v>
      </c>
      <c r="M83" s="233">
        <f t="shared" si="13"/>
        <v>0</v>
      </c>
      <c r="N83" s="154" t="s">
        <v>592</v>
      </c>
      <c r="O83" s="154"/>
      <c r="P83" s="157">
        <f t="shared" ca="1" si="15"/>
        <v>0</v>
      </c>
    </row>
    <row r="84" spans="2:16" outlineLevel="1" x14ac:dyDescent="0.25">
      <c r="B84" s="95" t="s">
        <v>1284</v>
      </c>
      <c r="C84" s="235">
        <v>339911</v>
      </c>
      <c r="D84" s="107">
        <f>IFERROR(VLOOKUP(C84,Tabla_APL[[STOCKCODE]:[TYPE]],3,FALSE),"")</f>
        <v>7</v>
      </c>
      <c r="E84" s="107">
        <v>2</v>
      </c>
      <c r="F84" s="135">
        <f t="shared" si="4"/>
        <v>5</v>
      </c>
      <c r="G84" s="229" t="s">
        <v>594</v>
      </c>
      <c r="H84" s="170">
        <v>0</v>
      </c>
      <c r="I84" s="101">
        <f t="shared" si="14"/>
        <v>0</v>
      </c>
      <c r="J84" s="230">
        <v>30</v>
      </c>
      <c r="K84" s="137">
        <f t="shared" si="16"/>
        <v>43991</v>
      </c>
      <c r="L84" s="138">
        <v>0</v>
      </c>
      <c r="M84" s="231">
        <f t="shared" si="13"/>
        <v>0</v>
      </c>
      <c r="N84" s="98" t="s">
        <v>592</v>
      </c>
      <c r="O84" s="98"/>
      <c r="P84" s="101">
        <f t="shared" ca="1" si="15"/>
        <v>0</v>
      </c>
    </row>
    <row r="85" spans="2:16" outlineLevel="1" x14ac:dyDescent="0.25">
      <c r="B85" s="149" t="s">
        <v>1560</v>
      </c>
      <c r="C85" s="236">
        <v>746226</v>
      </c>
      <c r="D85" s="164">
        <f>IFERROR(VLOOKUP(C85,Tabla_APL[[STOCKCODE]:[TYPE]],3,FALSE),"")</f>
        <v>6</v>
      </c>
      <c r="E85" s="164">
        <v>1</v>
      </c>
      <c r="F85" s="151">
        <f t="shared" si="4"/>
        <v>5</v>
      </c>
      <c r="G85" s="232" t="s">
        <v>596</v>
      </c>
      <c r="H85" s="170">
        <v>1</v>
      </c>
      <c r="I85" s="157">
        <f t="shared" si="14"/>
        <v>0.14285714285714285</v>
      </c>
      <c r="J85" s="114">
        <v>30</v>
      </c>
      <c r="K85" s="155">
        <f t="shared" si="16"/>
        <v>43991</v>
      </c>
      <c r="L85" s="138">
        <v>0.3</v>
      </c>
      <c r="M85" s="233">
        <f t="shared" si="13"/>
        <v>4.2857142857142851E-2</v>
      </c>
      <c r="N85" s="154"/>
      <c r="O85" s="154"/>
      <c r="P85" s="157">
        <f t="shared" ca="1" si="15"/>
        <v>0.14285714285714285</v>
      </c>
    </row>
    <row r="86" spans="2:16" outlineLevel="1" x14ac:dyDescent="0.25">
      <c r="B86" s="95" t="s">
        <v>1561</v>
      </c>
      <c r="C86" s="235">
        <v>474973</v>
      </c>
      <c r="D86" s="235">
        <f>IFERROR(VLOOKUP(C86,Tabla_APL[[STOCKCODE]:[TYPE]],3,FALSE),"")</f>
        <v>3</v>
      </c>
      <c r="E86" s="235">
        <v>1</v>
      </c>
      <c r="F86" s="135">
        <f>D86-E86</f>
        <v>2</v>
      </c>
      <c r="G86" s="237" t="s">
        <v>598</v>
      </c>
      <c r="H86" s="170">
        <v>0</v>
      </c>
      <c r="I86" s="101">
        <f t="shared" si="14"/>
        <v>0</v>
      </c>
      <c r="J86" s="230">
        <v>30</v>
      </c>
      <c r="K86" s="137">
        <f t="shared" si="16"/>
        <v>43991</v>
      </c>
      <c r="L86" s="138">
        <v>0</v>
      </c>
      <c r="M86" s="238">
        <f t="shared" si="13"/>
        <v>0</v>
      </c>
      <c r="N86" s="98"/>
      <c r="O86" s="98"/>
      <c r="P86" s="101">
        <f t="shared" ca="1" si="15"/>
        <v>0</v>
      </c>
    </row>
    <row r="87" spans="2:16" ht="44.25" customHeight="1" outlineLevel="1" x14ac:dyDescent="0.25">
      <c r="B87" s="149" t="s">
        <v>1562</v>
      </c>
      <c r="C87" s="239">
        <v>474981</v>
      </c>
      <c r="D87" s="239">
        <f>IFERROR(VLOOKUP(C87,Tabla_APL[[STOCKCODE]:[TYPE]],3,FALSE),"")</f>
        <v>4</v>
      </c>
      <c r="E87" s="239">
        <v>1</v>
      </c>
      <c r="F87" s="212">
        <f>D87-E87</f>
        <v>3</v>
      </c>
      <c r="G87" s="112" t="s">
        <v>600</v>
      </c>
      <c r="H87" s="170">
        <v>0</v>
      </c>
      <c r="I87" s="157">
        <f t="shared" si="14"/>
        <v>0</v>
      </c>
      <c r="J87" s="114">
        <v>30</v>
      </c>
      <c r="K87" s="155">
        <f t="shared" si="16"/>
        <v>43991</v>
      </c>
      <c r="L87" s="138">
        <v>0</v>
      </c>
      <c r="M87" s="233">
        <f t="shared" si="13"/>
        <v>0</v>
      </c>
      <c r="N87" s="154"/>
      <c r="O87" s="154"/>
      <c r="P87" s="157">
        <f t="shared" ca="1" si="15"/>
        <v>0</v>
      </c>
    </row>
    <row r="88" spans="2:16" ht="31.5" outlineLevel="1" x14ac:dyDescent="0.25">
      <c r="B88" s="213">
        <v>1.4</v>
      </c>
      <c r="C88" s="171" t="s">
        <v>335</v>
      </c>
      <c r="D88" s="184" t="s">
        <v>320</v>
      </c>
      <c r="E88" s="171" t="s">
        <v>319</v>
      </c>
      <c r="F88" s="171" t="s">
        <v>453</v>
      </c>
      <c r="G88" s="171" t="s">
        <v>601</v>
      </c>
      <c r="H88" s="171" t="s">
        <v>333</v>
      </c>
      <c r="I88" s="214">
        <f>SUM(I89:I92)</f>
        <v>1</v>
      </c>
      <c r="J88" s="171" t="s">
        <v>299</v>
      </c>
      <c r="K88" s="171" t="s">
        <v>339</v>
      </c>
      <c r="L88" s="214">
        <f>AVERAGE(L89:L92)</f>
        <v>0.3</v>
      </c>
      <c r="M88" s="214">
        <f>SUM(M89:M92)</f>
        <v>0.3</v>
      </c>
      <c r="N88" s="171" t="s">
        <v>340</v>
      </c>
      <c r="O88" s="171" t="s">
        <v>321</v>
      </c>
      <c r="P88" s="214">
        <f ca="1">SUM(P89:P92)</f>
        <v>1</v>
      </c>
    </row>
    <row r="89" spans="2:16" outlineLevel="1" x14ac:dyDescent="0.25">
      <c r="B89" s="95" t="s">
        <v>602</v>
      </c>
      <c r="C89" s="205">
        <v>746228</v>
      </c>
      <c r="D89" s="111">
        <f>IFERROR(VLOOKUP(C89,Tabla_APL[[STOCKCODE]:[TYPE]],3,FALSE),"")</f>
        <v>5</v>
      </c>
      <c r="E89" s="111">
        <v>1</v>
      </c>
      <c r="F89" s="135">
        <f t="shared" ref="F89:F168" si="17">D89-E89</f>
        <v>4</v>
      </c>
      <c r="G89" s="229" t="s">
        <v>603</v>
      </c>
      <c r="H89" s="170">
        <v>1</v>
      </c>
      <c r="I89" s="101">
        <f>IF(H89=1,1/SUM(H$89:H$92),0)</f>
        <v>0.25</v>
      </c>
      <c r="J89" s="230">
        <v>30</v>
      </c>
      <c r="K89" s="137">
        <f t="shared" si="16"/>
        <v>43991</v>
      </c>
      <c r="L89" s="138">
        <v>0.3</v>
      </c>
      <c r="M89" s="231">
        <f>I89*L89</f>
        <v>7.4999999999999997E-2</v>
      </c>
      <c r="N89" s="98"/>
      <c r="O89" s="98"/>
      <c r="P89" s="101">
        <f ca="1">(IF(K89&lt;=TODAY(),1,0))*I89</f>
        <v>0.25</v>
      </c>
    </row>
    <row r="90" spans="2:16" outlineLevel="1" x14ac:dyDescent="0.25">
      <c r="B90" s="149" t="s">
        <v>604</v>
      </c>
      <c r="C90" s="208">
        <v>746227</v>
      </c>
      <c r="D90" s="164">
        <f>IFERROR(VLOOKUP(C90,Tabla_APL[[STOCKCODE]:[TYPE]],3,FALSE),"")</f>
        <v>5</v>
      </c>
      <c r="E90" s="164">
        <v>1</v>
      </c>
      <c r="F90" s="151">
        <f t="shared" si="17"/>
        <v>4</v>
      </c>
      <c r="G90" s="112" t="s">
        <v>603</v>
      </c>
      <c r="H90" s="170">
        <v>1</v>
      </c>
      <c r="I90" s="157">
        <f>IF(H90=1,1/SUM(H$89:H$92),0)</f>
        <v>0.25</v>
      </c>
      <c r="J90" s="114">
        <v>30</v>
      </c>
      <c r="K90" s="155">
        <f t="shared" si="16"/>
        <v>43991</v>
      </c>
      <c r="L90" s="138">
        <v>0.3</v>
      </c>
      <c r="M90" s="233">
        <f>I90*L90</f>
        <v>7.4999999999999997E-2</v>
      </c>
      <c r="N90" s="154"/>
      <c r="O90" s="154"/>
      <c r="P90" s="157">
        <f ca="1">(IF(K90&lt;=TODAY(),1,0))*I90</f>
        <v>0.25</v>
      </c>
    </row>
    <row r="91" spans="2:16" outlineLevel="1" x14ac:dyDescent="0.25">
      <c r="B91" s="95" t="s">
        <v>605</v>
      </c>
      <c r="C91" s="208">
        <v>746229</v>
      </c>
      <c r="D91" s="107">
        <f>IFERROR(VLOOKUP(C91,Tabla_APL[[STOCKCODE]:[TYPE]],3,FALSE),"")</f>
        <v>5</v>
      </c>
      <c r="E91" s="107">
        <v>1</v>
      </c>
      <c r="F91" s="135">
        <f t="shared" si="17"/>
        <v>4</v>
      </c>
      <c r="G91" s="229" t="s">
        <v>603</v>
      </c>
      <c r="H91" s="170">
        <v>1</v>
      </c>
      <c r="I91" s="101">
        <f>IF(H91=1,1/SUM(H$89:H$92),0)</f>
        <v>0.25</v>
      </c>
      <c r="J91" s="230">
        <v>30</v>
      </c>
      <c r="K91" s="137">
        <f t="shared" si="16"/>
        <v>43991</v>
      </c>
      <c r="L91" s="138">
        <v>0.3</v>
      </c>
      <c r="M91" s="231">
        <f>I91*L91</f>
        <v>7.4999999999999997E-2</v>
      </c>
      <c r="N91" s="98"/>
      <c r="O91" s="98"/>
      <c r="P91" s="101">
        <f ca="1">(IF(K91&lt;=TODAY(),1,0))*I91</f>
        <v>0.25</v>
      </c>
    </row>
    <row r="92" spans="2:16" outlineLevel="1" x14ac:dyDescent="0.25">
      <c r="B92" s="149" t="s">
        <v>606</v>
      </c>
      <c r="C92" s="211">
        <v>746230</v>
      </c>
      <c r="D92" s="239">
        <f>IFERROR(VLOOKUP(C92,Tabla_APL[[STOCKCODE]:[TYPE]],3,FALSE),"")</f>
        <v>5</v>
      </c>
      <c r="E92" s="239">
        <v>1</v>
      </c>
      <c r="F92" s="212">
        <f t="shared" si="17"/>
        <v>4</v>
      </c>
      <c r="G92" s="112" t="s">
        <v>603</v>
      </c>
      <c r="H92" s="170">
        <v>1</v>
      </c>
      <c r="I92" s="157">
        <f>IF(H92=1,1/SUM(H$89:H$92),0)</f>
        <v>0.25</v>
      </c>
      <c r="J92" s="114">
        <v>30</v>
      </c>
      <c r="K92" s="155">
        <f t="shared" si="16"/>
        <v>43991</v>
      </c>
      <c r="L92" s="138">
        <v>0.3</v>
      </c>
      <c r="M92" s="233">
        <f>I92*L92</f>
        <v>7.4999999999999997E-2</v>
      </c>
      <c r="N92" s="154"/>
      <c r="O92" s="154"/>
      <c r="P92" s="157">
        <f ca="1">(IF(K92&lt;=TODAY(),1,0))*I92</f>
        <v>0.25</v>
      </c>
    </row>
    <row r="93" spans="2:16" ht="31.5" outlineLevel="1" x14ac:dyDescent="0.25">
      <c r="B93" s="213">
        <v>1.5</v>
      </c>
      <c r="C93" s="171" t="s">
        <v>335</v>
      </c>
      <c r="D93" s="184" t="s">
        <v>320</v>
      </c>
      <c r="E93" s="171" t="s">
        <v>319</v>
      </c>
      <c r="F93" s="171" t="s">
        <v>453</v>
      </c>
      <c r="G93" s="171" t="s">
        <v>607</v>
      </c>
      <c r="H93" s="171" t="s">
        <v>333</v>
      </c>
      <c r="I93" s="214">
        <f>SUM(I94:I101)</f>
        <v>1</v>
      </c>
      <c r="J93" s="171" t="s">
        <v>299</v>
      </c>
      <c r="K93" s="171" t="s">
        <v>339</v>
      </c>
      <c r="L93" s="214">
        <f>AVERAGE(L94:L101)</f>
        <v>0.3</v>
      </c>
      <c r="M93" s="214">
        <f>SUM(M94:M101)</f>
        <v>0.3</v>
      </c>
      <c r="N93" s="171" t="s">
        <v>340</v>
      </c>
      <c r="O93" s="171" t="s">
        <v>321</v>
      </c>
      <c r="P93" s="214">
        <f ca="1">SUM(P94:P101)</f>
        <v>1</v>
      </c>
    </row>
    <row r="94" spans="2:16" outlineLevel="1" x14ac:dyDescent="0.25">
      <c r="B94" s="95" t="s">
        <v>608</v>
      </c>
      <c r="C94" s="205">
        <v>746240</v>
      </c>
      <c r="D94" s="111">
        <f>IFERROR(VLOOKUP(C94,Tabla_APL[[STOCKCODE]:[TYPE]],3,FALSE),"")</f>
        <v>7</v>
      </c>
      <c r="E94" s="111">
        <v>1</v>
      </c>
      <c r="F94" s="135">
        <f t="shared" si="17"/>
        <v>6</v>
      </c>
      <c r="G94" s="108" t="s">
        <v>603</v>
      </c>
      <c r="H94" s="170">
        <v>1</v>
      </c>
      <c r="I94" s="101">
        <f t="shared" ref="I94:I101" si="18">IF(H94=1,1/SUM(H$94:H$101),0)</f>
        <v>0.125</v>
      </c>
      <c r="J94" s="110">
        <v>30</v>
      </c>
      <c r="K94" s="137">
        <f t="shared" si="16"/>
        <v>43991</v>
      </c>
      <c r="L94" s="138">
        <v>0.3</v>
      </c>
      <c r="M94" s="231">
        <f t="shared" ref="M94:M101" si="19">I94*L94</f>
        <v>3.7499999999999999E-2</v>
      </c>
      <c r="N94" s="98"/>
      <c r="O94" s="98"/>
      <c r="P94" s="101">
        <f t="shared" ref="P94:P101" ca="1" si="20">(IF(K94&lt;=TODAY(),1,0))*I94</f>
        <v>0.125</v>
      </c>
    </row>
    <row r="95" spans="2:16" outlineLevel="1" x14ac:dyDescent="0.25">
      <c r="B95" s="149" t="s">
        <v>609</v>
      </c>
      <c r="C95" s="208">
        <v>746241</v>
      </c>
      <c r="D95" s="164">
        <f>IFERROR(VLOOKUP(C95,Tabla_APL[[STOCKCODE]:[TYPE]],3,FALSE),"")</f>
        <v>3</v>
      </c>
      <c r="E95" s="164">
        <v>1</v>
      </c>
      <c r="F95" s="151">
        <f t="shared" si="17"/>
        <v>2</v>
      </c>
      <c r="G95" s="112" t="s">
        <v>603</v>
      </c>
      <c r="H95" s="170">
        <v>1</v>
      </c>
      <c r="I95" s="157">
        <f t="shared" si="18"/>
        <v>0.125</v>
      </c>
      <c r="J95" s="114">
        <v>30</v>
      </c>
      <c r="K95" s="155">
        <f t="shared" si="16"/>
        <v>43991</v>
      </c>
      <c r="L95" s="138">
        <v>0.3</v>
      </c>
      <c r="M95" s="233">
        <f t="shared" si="19"/>
        <v>3.7499999999999999E-2</v>
      </c>
      <c r="N95" s="154"/>
      <c r="O95" s="154"/>
      <c r="P95" s="157">
        <f t="shared" ca="1" si="20"/>
        <v>0.125</v>
      </c>
    </row>
    <row r="96" spans="2:16" outlineLevel="1" x14ac:dyDescent="0.25">
      <c r="B96" s="95" t="s">
        <v>610</v>
      </c>
      <c r="C96" s="208">
        <v>746242</v>
      </c>
      <c r="D96" s="107">
        <f>IFERROR(VLOOKUP(C96,Tabla_APL[[STOCKCODE]:[TYPE]],3,FALSE),"")</f>
        <v>4</v>
      </c>
      <c r="E96" s="107">
        <v>1</v>
      </c>
      <c r="F96" s="135">
        <f t="shared" si="17"/>
        <v>3</v>
      </c>
      <c r="G96" s="108" t="s">
        <v>603</v>
      </c>
      <c r="H96" s="170">
        <v>1</v>
      </c>
      <c r="I96" s="101">
        <f t="shared" si="18"/>
        <v>0.125</v>
      </c>
      <c r="J96" s="110">
        <v>30</v>
      </c>
      <c r="K96" s="137">
        <f t="shared" si="16"/>
        <v>43991</v>
      </c>
      <c r="L96" s="138">
        <v>0.3</v>
      </c>
      <c r="M96" s="231">
        <f t="shared" si="19"/>
        <v>3.7499999999999999E-2</v>
      </c>
      <c r="N96" s="98"/>
      <c r="O96" s="98"/>
      <c r="P96" s="101">
        <f t="shared" ca="1" si="20"/>
        <v>0.125</v>
      </c>
    </row>
    <row r="97" spans="2:16" outlineLevel="1" x14ac:dyDescent="0.25">
      <c r="B97" s="149" t="s">
        <v>611</v>
      </c>
      <c r="C97" s="150">
        <v>155671</v>
      </c>
      <c r="D97" s="164">
        <f>IFERROR(VLOOKUP(C97,Tabla_APL[[STOCKCODE]:[TYPE]],3,FALSE),"")</f>
        <v>7</v>
      </c>
      <c r="E97" s="164">
        <v>1</v>
      </c>
      <c r="F97" s="151">
        <f t="shared" si="17"/>
        <v>6</v>
      </c>
      <c r="G97" s="112" t="s">
        <v>612</v>
      </c>
      <c r="H97" s="170">
        <v>1</v>
      </c>
      <c r="I97" s="157">
        <f t="shared" si="18"/>
        <v>0.125</v>
      </c>
      <c r="J97" s="114">
        <v>30</v>
      </c>
      <c r="K97" s="155">
        <f t="shared" si="16"/>
        <v>43991</v>
      </c>
      <c r="L97" s="138">
        <v>0.3</v>
      </c>
      <c r="M97" s="233">
        <f t="shared" si="19"/>
        <v>3.7499999999999999E-2</v>
      </c>
      <c r="N97" s="154"/>
      <c r="O97" s="154"/>
      <c r="P97" s="157">
        <f t="shared" ca="1" si="20"/>
        <v>0.125</v>
      </c>
    </row>
    <row r="98" spans="2:16" ht="31.5" outlineLevel="1" x14ac:dyDescent="0.25">
      <c r="B98" s="95" t="s">
        <v>613</v>
      </c>
      <c r="C98" s="240">
        <v>155663</v>
      </c>
      <c r="D98" s="107">
        <f>IFERROR(VLOOKUP(C98,Tabla_APL[[STOCKCODE]:[TYPE]],3,FALSE),"")</f>
        <v>12</v>
      </c>
      <c r="E98" s="107">
        <v>2</v>
      </c>
      <c r="F98" s="135">
        <f t="shared" si="17"/>
        <v>10</v>
      </c>
      <c r="G98" s="108" t="s">
        <v>614</v>
      </c>
      <c r="H98" s="170">
        <v>1</v>
      </c>
      <c r="I98" s="101">
        <f t="shared" si="18"/>
        <v>0.125</v>
      </c>
      <c r="J98" s="110">
        <v>30</v>
      </c>
      <c r="K98" s="137">
        <f t="shared" si="16"/>
        <v>43991</v>
      </c>
      <c r="L98" s="138">
        <v>0.3</v>
      </c>
      <c r="M98" s="231">
        <f t="shared" si="19"/>
        <v>3.7499999999999999E-2</v>
      </c>
      <c r="N98" s="98"/>
      <c r="O98" s="98"/>
      <c r="P98" s="101">
        <f t="shared" ca="1" si="20"/>
        <v>0.125</v>
      </c>
    </row>
    <row r="99" spans="2:16" outlineLevel="1" x14ac:dyDescent="0.25">
      <c r="B99" s="149" t="s">
        <v>615</v>
      </c>
      <c r="C99" s="150">
        <v>49973</v>
      </c>
      <c r="D99" s="164">
        <f>IFERROR(VLOOKUP(C99,Tabla_APL[[STOCKCODE]:[TYPE]],3,FALSE),"")</f>
        <v>0</v>
      </c>
      <c r="E99" s="164">
        <v>2</v>
      </c>
      <c r="F99" s="151">
        <f t="shared" si="17"/>
        <v>-2</v>
      </c>
      <c r="G99" s="112" t="s">
        <v>616</v>
      </c>
      <c r="H99" s="170">
        <v>1</v>
      </c>
      <c r="I99" s="157">
        <f t="shared" si="18"/>
        <v>0.125</v>
      </c>
      <c r="J99" s="114">
        <v>30</v>
      </c>
      <c r="K99" s="155">
        <f t="shared" si="16"/>
        <v>43991</v>
      </c>
      <c r="L99" s="138">
        <v>0.3</v>
      </c>
      <c r="M99" s="233">
        <f t="shared" si="19"/>
        <v>3.7499999999999999E-2</v>
      </c>
      <c r="N99" s="154"/>
      <c r="O99" s="154"/>
      <c r="P99" s="157">
        <f t="shared" ca="1" si="20"/>
        <v>0.125</v>
      </c>
    </row>
    <row r="100" spans="2:16" outlineLevel="1" x14ac:dyDescent="0.25">
      <c r="B100" s="95" t="s">
        <v>617</v>
      </c>
      <c r="C100" s="240">
        <v>88799</v>
      </c>
      <c r="D100" s="107">
        <f>IFERROR(VLOOKUP(C100,Tabla_APL[[STOCKCODE]:[TYPE]],3,FALSE),"")</f>
        <v>24</v>
      </c>
      <c r="E100" s="107">
        <v>2</v>
      </c>
      <c r="F100" s="135">
        <f t="shared" si="17"/>
        <v>22</v>
      </c>
      <c r="G100" s="108" t="s">
        <v>618</v>
      </c>
      <c r="H100" s="170">
        <v>1</v>
      </c>
      <c r="I100" s="101">
        <f t="shared" si="18"/>
        <v>0.125</v>
      </c>
      <c r="J100" s="110">
        <v>30</v>
      </c>
      <c r="K100" s="137">
        <f t="shared" si="16"/>
        <v>43991</v>
      </c>
      <c r="L100" s="138">
        <v>0.3</v>
      </c>
      <c r="M100" s="231">
        <f t="shared" si="19"/>
        <v>3.7499999999999999E-2</v>
      </c>
      <c r="N100" s="98"/>
      <c r="O100" s="98"/>
      <c r="P100" s="101">
        <f t="shared" ca="1" si="20"/>
        <v>0.125</v>
      </c>
    </row>
    <row r="101" spans="2:16" ht="31.5" outlineLevel="1" x14ac:dyDescent="0.25">
      <c r="B101" s="149" t="s">
        <v>619</v>
      </c>
      <c r="C101" s="211">
        <v>155655</v>
      </c>
      <c r="D101" s="239">
        <f>IFERROR(VLOOKUP(C101,Tabla_APL[[STOCKCODE]:[TYPE]],3,FALSE),"")</f>
        <v>17</v>
      </c>
      <c r="E101" s="239">
        <v>1</v>
      </c>
      <c r="F101" s="212">
        <f t="shared" si="17"/>
        <v>16</v>
      </c>
      <c r="G101" s="112" t="s">
        <v>620</v>
      </c>
      <c r="H101" s="170">
        <v>1</v>
      </c>
      <c r="I101" s="157">
        <f t="shared" si="18"/>
        <v>0.125</v>
      </c>
      <c r="J101" s="114">
        <v>30</v>
      </c>
      <c r="K101" s="155">
        <f t="shared" si="16"/>
        <v>43991</v>
      </c>
      <c r="L101" s="138">
        <v>0.3</v>
      </c>
      <c r="M101" s="233">
        <f t="shared" si="19"/>
        <v>3.7499999999999999E-2</v>
      </c>
      <c r="N101" s="154"/>
      <c r="O101" s="154"/>
      <c r="P101" s="157">
        <f t="shared" ca="1" si="20"/>
        <v>0.125</v>
      </c>
    </row>
    <row r="102" spans="2:16" ht="31.5" outlineLevel="1" x14ac:dyDescent="0.25">
      <c r="B102" s="213">
        <v>1.6</v>
      </c>
      <c r="C102" s="171" t="s">
        <v>335</v>
      </c>
      <c r="D102" s="184" t="s">
        <v>320</v>
      </c>
      <c r="E102" s="171" t="s">
        <v>319</v>
      </c>
      <c r="F102" s="171" t="s">
        <v>453</v>
      </c>
      <c r="G102" s="171" t="s">
        <v>621</v>
      </c>
      <c r="H102" s="171" t="s">
        <v>333</v>
      </c>
      <c r="I102" s="214">
        <f>SUM(I103:I109)</f>
        <v>1</v>
      </c>
      <c r="J102" s="171" t="s">
        <v>299</v>
      </c>
      <c r="K102" s="171" t="s">
        <v>339</v>
      </c>
      <c r="L102" s="214">
        <f>AVERAGE(L103:L109)</f>
        <v>0.21428571428571427</v>
      </c>
      <c r="M102" s="214">
        <f>SUM(M103:M109)</f>
        <v>0.3</v>
      </c>
      <c r="N102" s="171" t="s">
        <v>340</v>
      </c>
      <c r="O102" s="171" t="s">
        <v>321</v>
      </c>
      <c r="P102" s="214">
        <f ca="1">SUM(P103:P109)</f>
        <v>1</v>
      </c>
    </row>
    <row r="103" spans="2:16" outlineLevel="1" x14ac:dyDescent="0.25">
      <c r="B103" s="95" t="s">
        <v>622</v>
      </c>
      <c r="C103" s="228">
        <v>130732</v>
      </c>
      <c r="D103" s="111" t="str">
        <f>IFERROR(VLOOKUP(C103,Tabla_APL[[STOCKCODE]:[TYPE]],3,FALSE),"")</f>
        <v/>
      </c>
      <c r="E103" s="111">
        <v>1</v>
      </c>
      <c r="F103" s="135" t="e">
        <f t="shared" si="17"/>
        <v>#VALUE!</v>
      </c>
      <c r="G103" s="108" t="s">
        <v>623</v>
      </c>
      <c r="H103" s="170">
        <v>0</v>
      </c>
      <c r="I103" s="101">
        <f t="shared" ref="I103:I109" si="21">IF(H103=1,1/SUM(H$103:H$109),0)</f>
        <v>0</v>
      </c>
      <c r="J103" s="110">
        <v>30</v>
      </c>
      <c r="K103" s="137">
        <f t="shared" ref="K103:K109" si="22">$G$7-J103</f>
        <v>43991</v>
      </c>
      <c r="L103" s="138">
        <v>0</v>
      </c>
      <c r="M103" s="231">
        <f t="shared" ref="M103:M109" si="23">I103*L103</f>
        <v>0</v>
      </c>
      <c r="N103" s="98" t="s">
        <v>624</v>
      </c>
      <c r="O103" s="98"/>
      <c r="P103" s="101">
        <f t="shared" ref="P103:P109" ca="1" si="24">(IF(K103&lt;=TODAY(),1,0))*I103</f>
        <v>0</v>
      </c>
    </row>
    <row r="104" spans="2:16" ht="30" outlineLevel="1" x14ac:dyDescent="0.25">
      <c r="B104" s="149" t="s">
        <v>625</v>
      </c>
      <c r="C104" s="262">
        <v>746237</v>
      </c>
      <c r="D104" s="164">
        <f>IFERROR(VLOOKUP(C104,Tabla_APL[[STOCKCODE]:[TYPE]],3,FALSE),"")</f>
        <v>4</v>
      </c>
      <c r="E104" s="164">
        <v>1</v>
      </c>
      <c r="F104" s="151">
        <f t="shared" si="17"/>
        <v>3</v>
      </c>
      <c r="G104" s="232" t="s">
        <v>626</v>
      </c>
      <c r="H104" s="170">
        <v>0</v>
      </c>
      <c r="I104" s="157">
        <f t="shared" si="21"/>
        <v>0</v>
      </c>
      <c r="J104" s="114">
        <v>30</v>
      </c>
      <c r="K104" s="155">
        <f t="shared" si="22"/>
        <v>43991</v>
      </c>
      <c r="L104" s="99">
        <v>0</v>
      </c>
      <c r="M104" s="233">
        <f t="shared" si="23"/>
        <v>0</v>
      </c>
      <c r="N104" s="154" t="s">
        <v>627</v>
      </c>
      <c r="O104" s="154"/>
      <c r="P104" s="157">
        <f t="shared" ca="1" si="24"/>
        <v>0</v>
      </c>
    </row>
    <row r="105" spans="2:16" outlineLevel="1" x14ac:dyDescent="0.25">
      <c r="B105" s="95" t="s">
        <v>628</v>
      </c>
      <c r="C105" s="263">
        <v>746236</v>
      </c>
      <c r="D105" s="107">
        <f>IFERROR(VLOOKUP(C105,Tabla_APL[[STOCKCODE]:[TYPE]],3,FALSE),"")</f>
        <v>5</v>
      </c>
      <c r="E105" s="107">
        <v>1</v>
      </c>
      <c r="F105" s="135">
        <f t="shared" si="17"/>
        <v>4</v>
      </c>
      <c r="G105" s="108" t="s">
        <v>629</v>
      </c>
      <c r="H105" s="170">
        <v>1</v>
      </c>
      <c r="I105" s="101">
        <f t="shared" si="21"/>
        <v>0.2</v>
      </c>
      <c r="J105" s="110">
        <v>30</v>
      </c>
      <c r="K105" s="137">
        <f t="shared" si="22"/>
        <v>43991</v>
      </c>
      <c r="L105" s="138">
        <v>0.3</v>
      </c>
      <c r="M105" s="231">
        <f t="shared" si="23"/>
        <v>0.06</v>
      </c>
      <c r="N105" s="98"/>
      <c r="O105" s="98"/>
      <c r="P105" s="101">
        <f t="shared" ca="1" si="24"/>
        <v>0.2</v>
      </c>
    </row>
    <row r="106" spans="2:16" ht="31.5" outlineLevel="1" x14ac:dyDescent="0.25">
      <c r="B106" s="149" t="s">
        <v>630</v>
      </c>
      <c r="C106" s="150">
        <v>155655</v>
      </c>
      <c r="D106" s="164">
        <f>IFERROR(VLOOKUP(C106,Tabla_APL[[STOCKCODE]:[TYPE]],3,FALSE),"")</f>
        <v>17</v>
      </c>
      <c r="E106" s="164">
        <v>1</v>
      </c>
      <c r="F106" s="151">
        <f t="shared" si="17"/>
        <v>16</v>
      </c>
      <c r="G106" s="232" t="s">
        <v>620</v>
      </c>
      <c r="H106" s="170">
        <v>1</v>
      </c>
      <c r="I106" s="157">
        <f t="shared" si="21"/>
        <v>0.2</v>
      </c>
      <c r="J106" s="114">
        <v>30</v>
      </c>
      <c r="K106" s="155">
        <f t="shared" si="22"/>
        <v>43991</v>
      </c>
      <c r="L106" s="138">
        <v>0.3</v>
      </c>
      <c r="M106" s="233">
        <f t="shared" si="23"/>
        <v>0.06</v>
      </c>
      <c r="N106" s="154"/>
      <c r="O106" s="154"/>
      <c r="P106" s="157">
        <f t="shared" ca="1" si="24"/>
        <v>0.2</v>
      </c>
    </row>
    <row r="107" spans="2:16" outlineLevel="1" x14ac:dyDescent="0.25">
      <c r="B107" s="95" t="s">
        <v>631</v>
      </c>
      <c r="C107" s="234">
        <v>746216</v>
      </c>
      <c r="D107" s="107">
        <f>IFERROR(VLOOKUP(C107,Tabla_APL[[STOCKCODE]:[TYPE]],3,FALSE),"")</f>
        <v>6</v>
      </c>
      <c r="E107" s="107">
        <v>1</v>
      </c>
      <c r="F107" s="135">
        <f t="shared" si="17"/>
        <v>5</v>
      </c>
      <c r="G107" s="108" t="s">
        <v>632</v>
      </c>
      <c r="H107" s="170">
        <v>1</v>
      </c>
      <c r="I107" s="101">
        <f t="shared" si="21"/>
        <v>0.2</v>
      </c>
      <c r="J107" s="110">
        <v>30</v>
      </c>
      <c r="K107" s="137">
        <f t="shared" si="22"/>
        <v>43991</v>
      </c>
      <c r="L107" s="138">
        <v>0.3</v>
      </c>
      <c r="M107" s="231">
        <f t="shared" si="23"/>
        <v>0.06</v>
      </c>
      <c r="N107" s="98"/>
      <c r="O107" s="98"/>
      <c r="P107" s="101">
        <f t="shared" ca="1" si="24"/>
        <v>0.2</v>
      </c>
    </row>
    <row r="108" spans="2:16" outlineLevel="1" x14ac:dyDescent="0.25">
      <c r="B108" s="149" t="s">
        <v>633</v>
      </c>
      <c r="C108" s="150">
        <v>88799</v>
      </c>
      <c r="D108" s="164">
        <f>IFERROR(VLOOKUP(C108,Tabla_APL[[STOCKCODE]:[TYPE]],3,FALSE),"")</f>
        <v>24</v>
      </c>
      <c r="E108" s="164">
        <v>2</v>
      </c>
      <c r="F108" s="151">
        <f t="shared" si="17"/>
        <v>22</v>
      </c>
      <c r="G108" s="232" t="s">
        <v>618</v>
      </c>
      <c r="H108" s="170">
        <v>1</v>
      </c>
      <c r="I108" s="157">
        <f t="shared" si="21"/>
        <v>0.2</v>
      </c>
      <c r="J108" s="114">
        <v>30</v>
      </c>
      <c r="K108" s="155">
        <f t="shared" si="22"/>
        <v>43991</v>
      </c>
      <c r="L108" s="138">
        <v>0.3</v>
      </c>
      <c r="M108" s="233">
        <f t="shared" si="23"/>
        <v>0.06</v>
      </c>
      <c r="N108" s="154"/>
      <c r="O108" s="154"/>
      <c r="P108" s="157">
        <f t="shared" ca="1" si="24"/>
        <v>0.2</v>
      </c>
    </row>
    <row r="109" spans="2:16" outlineLevel="1" x14ac:dyDescent="0.25">
      <c r="B109" s="95" t="s">
        <v>634</v>
      </c>
      <c r="C109" s="241">
        <v>746243</v>
      </c>
      <c r="D109" s="242">
        <f>IFERROR(VLOOKUP(C109,Tabla_APL[[STOCKCODE]:[TYPE]],3,FALSE),"")</f>
        <v>5</v>
      </c>
      <c r="E109" s="242">
        <v>1</v>
      </c>
      <c r="F109" s="221">
        <f t="shared" si="17"/>
        <v>4</v>
      </c>
      <c r="G109" s="108" t="s">
        <v>632</v>
      </c>
      <c r="H109" s="170">
        <v>1</v>
      </c>
      <c r="I109" s="101">
        <f t="shared" si="21"/>
        <v>0.2</v>
      </c>
      <c r="J109" s="110">
        <v>30</v>
      </c>
      <c r="K109" s="137">
        <f t="shared" si="22"/>
        <v>43991</v>
      </c>
      <c r="L109" s="138">
        <v>0.3</v>
      </c>
      <c r="M109" s="231">
        <f t="shared" si="23"/>
        <v>0.06</v>
      </c>
      <c r="N109" s="98"/>
      <c r="O109" s="98"/>
      <c r="P109" s="101">
        <f t="shared" ca="1" si="24"/>
        <v>0.2</v>
      </c>
    </row>
    <row r="110" spans="2:16" ht="31.5" outlineLevel="1" x14ac:dyDescent="0.25">
      <c r="B110" s="213">
        <v>1.7</v>
      </c>
      <c r="C110" s="171" t="s">
        <v>335</v>
      </c>
      <c r="D110" s="184" t="s">
        <v>320</v>
      </c>
      <c r="E110" s="171" t="s">
        <v>319</v>
      </c>
      <c r="F110" s="171" t="s">
        <v>453</v>
      </c>
      <c r="G110" s="171" t="s">
        <v>635</v>
      </c>
      <c r="H110" s="171" t="s">
        <v>333</v>
      </c>
      <c r="I110" s="214">
        <f>SUM(I111:I115)</f>
        <v>1</v>
      </c>
      <c r="J110" s="171" t="s">
        <v>299</v>
      </c>
      <c r="K110" s="171" t="s">
        <v>339</v>
      </c>
      <c r="L110" s="214">
        <f>AVERAGE(L111:L115)</f>
        <v>0.3</v>
      </c>
      <c r="M110" s="214">
        <f>SUM(M111:M115)</f>
        <v>0.3</v>
      </c>
      <c r="N110" s="171" t="s">
        <v>340</v>
      </c>
      <c r="O110" s="171" t="s">
        <v>321</v>
      </c>
      <c r="P110" s="214">
        <f ca="1">SUM(P111:P115)</f>
        <v>1</v>
      </c>
    </row>
    <row r="111" spans="2:16" outlineLevel="1" x14ac:dyDescent="0.25">
      <c r="B111" s="95" t="s">
        <v>636</v>
      </c>
      <c r="C111" s="228">
        <v>155598</v>
      </c>
      <c r="D111" s="111">
        <f>IFERROR(VLOOKUP(C111,Tabla_APL[[STOCKCODE]:[TYPE]],3,FALSE),"")</f>
        <v>11</v>
      </c>
      <c r="E111" s="111">
        <v>1</v>
      </c>
      <c r="F111" s="135">
        <f t="shared" si="17"/>
        <v>10</v>
      </c>
      <c r="G111" s="229" t="s">
        <v>637</v>
      </c>
      <c r="H111" s="170">
        <v>1</v>
      </c>
      <c r="I111" s="101">
        <f>IF(H111=1,1/SUM(H$111:H$115),0)</f>
        <v>0.2</v>
      </c>
      <c r="J111" s="110">
        <v>30</v>
      </c>
      <c r="K111" s="137">
        <f>$G$7-J111</f>
        <v>43991</v>
      </c>
      <c r="L111" s="138">
        <v>0.3</v>
      </c>
      <c r="M111" s="231">
        <f>I111*L111</f>
        <v>0.06</v>
      </c>
      <c r="N111" s="98"/>
      <c r="O111" s="98"/>
      <c r="P111" s="101">
        <f ca="1">(IF(K111&lt;=TODAY(),1,0))*I111</f>
        <v>0.2</v>
      </c>
    </row>
    <row r="112" spans="2:16" ht="19.5" customHeight="1" outlineLevel="1" x14ac:dyDescent="0.25">
      <c r="B112" s="149" t="s">
        <v>638</v>
      </c>
      <c r="C112" s="164">
        <v>130799</v>
      </c>
      <c r="D112" s="164">
        <f>IFERROR(VLOOKUP(C112,Tabla_APL[[STOCKCODE]:[TYPE]],3,FALSE),"")</f>
        <v>7</v>
      </c>
      <c r="E112" s="164">
        <v>1</v>
      </c>
      <c r="F112" s="151">
        <f t="shared" si="17"/>
        <v>6</v>
      </c>
      <c r="G112" s="232" t="s">
        <v>639</v>
      </c>
      <c r="H112" s="170">
        <v>1</v>
      </c>
      <c r="I112" s="157">
        <f>IF(H112=1,1/SUM(H$111:H$115),0)</f>
        <v>0.2</v>
      </c>
      <c r="J112" s="114">
        <v>30</v>
      </c>
      <c r="K112" s="155">
        <f>$G$7-J112</f>
        <v>43991</v>
      </c>
      <c r="L112" s="138">
        <v>0.3</v>
      </c>
      <c r="M112" s="233">
        <f>I112*L112</f>
        <v>0.06</v>
      </c>
      <c r="N112" s="154"/>
      <c r="O112" s="154"/>
      <c r="P112" s="157">
        <f ca="1">(IF(K112&lt;=TODAY(),1,0))*I112</f>
        <v>0.2</v>
      </c>
    </row>
    <row r="113" spans="2:16" outlineLevel="1" x14ac:dyDescent="0.25">
      <c r="B113" s="95" t="s">
        <v>640</v>
      </c>
      <c r="C113" s="235">
        <v>155606</v>
      </c>
      <c r="D113" s="107">
        <f>IFERROR(VLOOKUP(C113,Tabla_APL[[STOCKCODE]:[TYPE]],3,FALSE),"")</f>
        <v>245</v>
      </c>
      <c r="E113" s="107">
        <v>50</v>
      </c>
      <c r="F113" s="135">
        <f t="shared" si="17"/>
        <v>195</v>
      </c>
      <c r="G113" s="229" t="s">
        <v>641</v>
      </c>
      <c r="H113" s="170">
        <v>1</v>
      </c>
      <c r="I113" s="101">
        <f>IF(H113=1,1/SUM(H$111:H$115),0)</f>
        <v>0.2</v>
      </c>
      <c r="J113" s="110">
        <v>30</v>
      </c>
      <c r="K113" s="137">
        <f>$G$7-J113</f>
        <v>43991</v>
      </c>
      <c r="L113" s="138">
        <v>0.3</v>
      </c>
      <c r="M113" s="231">
        <f>I113*L113</f>
        <v>0.06</v>
      </c>
      <c r="N113" s="98"/>
      <c r="O113" s="98"/>
      <c r="P113" s="101">
        <f ca="1">(IF(K113&lt;=TODAY(),1,0))*I113</f>
        <v>0.2</v>
      </c>
    </row>
    <row r="114" spans="2:16" outlineLevel="1" x14ac:dyDescent="0.25">
      <c r="B114" s="149" t="s">
        <v>642</v>
      </c>
      <c r="C114" s="164">
        <v>394932</v>
      </c>
      <c r="D114" s="164">
        <f>IFERROR(VLOOKUP(C114,Tabla_APL[[STOCKCODE]:[TYPE]],3,FALSE),"")</f>
        <v>570</v>
      </c>
      <c r="E114" s="164">
        <v>100</v>
      </c>
      <c r="F114" s="151">
        <f t="shared" si="17"/>
        <v>470</v>
      </c>
      <c r="G114" s="112" t="s">
        <v>643</v>
      </c>
      <c r="H114" s="170">
        <v>1</v>
      </c>
      <c r="I114" s="157">
        <f>IF(H114=1,1/SUM(H$111:H$115),0)</f>
        <v>0.2</v>
      </c>
      <c r="J114" s="114">
        <v>30</v>
      </c>
      <c r="K114" s="155">
        <f>$G$7-J114</f>
        <v>43991</v>
      </c>
      <c r="L114" s="138">
        <v>0.3</v>
      </c>
      <c r="M114" s="233">
        <f>I114*L114</f>
        <v>0.06</v>
      </c>
      <c r="N114" s="154"/>
      <c r="O114" s="154"/>
      <c r="P114" s="157">
        <f ca="1">(IF(K114&lt;=TODAY(),1,0))*I114</f>
        <v>0.2</v>
      </c>
    </row>
    <row r="115" spans="2:16" outlineLevel="1" x14ac:dyDescent="0.25">
      <c r="B115" s="95" t="s">
        <v>644</v>
      </c>
      <c r="C115" s="211">
        <v>151571</v>
      </c>
      <c r="D115" s="242">
        <f>IFERROR(VLOOKUP(C115,Tabla_APL[[STOCKCODE]:[TYPE]],3,FALSE),"")</f>
        <v>217</v>
      </c>
      <c r="E115" s="242">
        <v>50</v>
      </c>
      <c r="F115" s="221">
        <f t="shared" si="17"/>
        <v>167</v>
      </c>
      <c r="G115" s="229" t="s">
        <v>645</v>
      </c>
      <c r="H115" s="170">
        <v>1</v>
      </c>
      <c r="I115" s="101">
        <f>IF(H115=1,1/SUM(H$111:H$115),0)</f>
        <v>0.2</v>
      </c>
      <c r="J115" s="110">
        <v>30</v>
      </c>
      <c r="K115" s="137">
        <f>$G$7-J115</f>
        <v>43991</v>
      </c>
      <c r="L115" s="138">
        <v>0.3</v>
      </c>
      <c r="M115" s="231">
        <f>I115*L115</f>
        <v>0.06</v>
      </c>
      <c r="N115" s="98"/>
      <c r="O115" s="98"/>
      <c r="P115" s="101">
        <f ca="1">(IF(K115&lt;=TODAY(),1,0))*I115</f>
        <v>0.2</v>
      </c>
    </row>
    <row r="116" spans="2:16" ht="31.5" outlineLevel="1" x14ac:dyDescent="0.25">
      <c r="B116" s="213">
        <v>1.8</v>
      </c>
      <c r="C116" s="171" t="s">
        <v>335</v>
      </c>
      <c r="D116" s="184" t="s">
        <v>320</v>
      </c>
      <c r="E116" s="171" t="s">
        <v>319</v>
      </c>
      <c r="F116" s="171" t="s">
        <v>453</v>
      </c>
      <c r="G116" s="171" t="s">
        <v>646</v>
      </c>
      <c r="H116" s="171" t="s">
        <v>333</v>
      </c>
      <c r="I116" s="214">
        <f>SUM(I117:I134)</f>
        <v>0.99999999999999978</v>
      </c>
      <c r="J116" s="171" t="s">
        <v>299</v>
      </c>
      <c r="K116" s="171" t="s">
        <v>339</v>
      </c>
      <c r="L116" s="214">
        <f>AVERAGE(L117:L134)</f>
        <v>6.6666666666666666E-2</v>
      </c>
      <c r="M116" s="214">
        <f>SUM(M117:M134)</f>
        <v>8.5714285714285701E-2</v>
      </c>
      <c r="N116" s="171" t="s">
        <v>340</v>
      </c>
      <c r="O116" s="171" t="s">
        <v>321</v>
      </c>
      <c r="P116" s="214">
        <f ca="1">SUM(P117:P134)</f>
        <v>0.99999999999999978</v>
      </c>
    </row>
    <row r="117" spans="2:16" outlineLevel="1" x14ac:dyDescent="0.25">
      <c r="B117" s="103" t="s">
        <v>647</v>
      </c>
      <c r="C117" s="228">
        <v>460154</v>
      </c>
      <c r="D117" s="111">
        <f>IFERROR(VLOOKUP(C117,Tabla_APL[[STOCKCODE]:[TYPE]],3,FALSE),"")</f>
        <v>68</v>
      </c>
      <c r="E117" s="111">
        <v>25</v>
      </c>
      <c r="F117" s="135">
        <f t="shared" si="17"/>
        <v>43</v>
      </c>
      <c r="G117" s="108" t="s">
        <v>648</v>
      </c>
      <c r="H117" s="170">
        <v>0</v>
      </c>
      <c r="I117" s="101">
        <f t="shared" ref="I117:I122" si="25">IF(H117=1,1/SUM(H$117:H$134),0)</f>
        <v>0</v>
      </c>
      <c r="J117" s="110">
        <v>7</v>
      </c>
      <c r="K117" s="137">
        <f t="shared" ref="K117:K134" si="26">$G$7-J117</f>
        <v>44014</v>
      </c>
      <c r="L117" s="99">
        <v>0</v>
      </c>
      <c r="M117" s="231">
        <f t="shared" ref="M117:M134" si="27">I117*L117</f>
        <v>0</v>
      </c>
      <c r="N117" s="98"/>
      <c r="O117" s="98"/>
      <c r="P117" s="101">
        <f t="shared" ref="P117:P122" ca="1" si="28">(IF(K117&lt;=TODAY(),1,0))*I117</f>
        <v>0</v>
      </c>
    </row>
    <row r="118" spans="2:16" outlineLevel="1" x14ac:dyDescent="0.25">
      <c r="B118" s="149" t="s">
        <v>649</v>
      </c>
      <c r="C118" s="164">
        <v>460170</v>
      </c>
      <c r="D118" s="164">
        <f>IFERROR(VLOOKUP(C118,Tabla_APL[[STOCKCODE]:[TYPE]],3,FALSE),"")</f>
        <v>63</v>
      </c>
      <c r="E118" s="164">
        <v>25</v>
      </c>
      <c r="F118" s="151">
        <f t="shared" si="17"/>
        <v>38</v>
      </c>
      <c r="G118" s="112" t="s">
        <v>650</v>
      </c>
      <c r="H118" s="170">
        <v>0</v>
      </c>
      <c r="I118" s="157">
        <f t="shared" si="25"/>
        <v>0</v>
      </c>
      <c r="J118" s="114">
        <v>7</v>
      </c>
      <c r="K118" s="155">
        <f t="shared" si="26"/>
        <v>44014</v>
      </c>
      <c r="L118" s="99">
        <v>0</v>
      </c>
      <c r="M118" s="233">
        <f t="shared" si="27"/>
        <v>0</v>
      </c>
      <c r="N118" s="154"/>
      <c r="O118" s="154"/>
      <c r="P118" s="157">
        <f t="shared" ca="1" si="28"/>
        <v>0</v>
      </c>
    </row>
    <row r="119" spans="2:16" outlineLevel="1" x14ac:dyDescent="0.25">
      <c r="B119" s="95" t="s">
        <v>651</v>
      </c>
      <c r="D119" s="107">
        <v>145</v>
      </c>
      <c r="E119" s="107">
        <v>25</v>
      </c>
      <c r="F119" s="135">
        <f t="shared" si="17"/>
        <v>120</v>
      </c>
      <c r="G119" s="229" t="s">
        <v>652</v>
      </c>
      <c r="H119" s="170">
        <v>1</v>
      </c>
      <c r="I119" s="101">
        <f t="shared" si="25"/>
        <v>0.14285714285714285</v>
      </c>
      <c r="J119" s="110">
        <v>7</v>
      </c>
      <c r="K119" s="137">
        <f t="shared" si="26"/>
        <v>44014</v>
      </c>
      <c r="L119" s="99">
        <v>0</v>
      </c>
      <c r="M119" s="231">
        <f t="shared" si="27"/>
        <v>0</v>
      </c>
      <c r="N119" s="98"/>
      <c r="O119" s="98"/>
      <c r="P119" s="101">
        <f t="shared" ca="1" si="28"/>
        <v>0.14285714285714285</v>
      </c>
    </row>
    <row r="120" spans="2:16" outlineLevel="1" x14ac:dyDescent="0.25">
      <c r="B120" s="103" t="s">
        <v>653</v>
      </c>
      <c r="C120" s="164">
        <v>123109</v>
      </c>
      <c r="D120" s="164">
        <v>177</v>
      </c>
      <c r="E120" s="164">
        <v>25</v>
      </c>
      <c r="F120" s="151">
        <f t="shared" si="17"/>
        <v>152</v>
      </c>
      <c r="G120" s="112" t="s">
        <v>654</v>
      </c>
      <c r="H120" s="170">
        <v>1</v>
      </c>
      <c r="I120" s="157">
        <f t="shared" si="25"/>
        <v>0.14285714285714285</v>
      </c>
      <c r="J120" s="114">
        <v>7</v>
      </c>
      <c r="K120" s="155">
        <f t="shared" si="26"/>
        <v>44014</v>
      </c>
      <c r="L120" s="99">
        <v>0</v>
      </c>
      <c r="M120" s="233">
        <f t="shared" si="27"/>
        <v>0</v>
      </c>
      <c r="N120" s="154"/>
      <c r="O120" s="154"/>
      <c r="P120" s="157">
        <f t="shared" ca="1" si="28"/>
        <v>0.14285714285714285</v>
      </c>
    </row>
    <row r="121" spans="2:16" outlineLevel="1" x14ac:dyDescent="0.25">
      <c r="B121" s="149" t="s">
        <v>655</v>
      </c>
      <c r="C121" s="243">
        <v>320507</v>
      </c>
      <c r="D121" s="107">
        <v>5</v>
      </c>
      <c r="E121" s="107">
        <v>1</v>
      </c>
      <c r="F121" s="135">
        <f t="shared" si="17"/>
        <v>4</v>
      </c>
      <c r="G121" s="229" t="s">
        <v>656</v>
      </c>
      <c r="H121" s="170">
        <v>1</v>
      </c>
      <c r="I121" s="101">
        <f t="shared" si="25"/>
        <v>0.14285714285714285</v>
      </c>
      <c r="J121" s="110">
        <v>7</v>
      </c>
      <c r="K121" s="137">
        <f t="shared" si="26"/>
        <v>44014</v>
      </c>
      <c r="L121" s="99">
        <v>0</v>
      </c>
      <c r="M121" s="231">
        <f t="shared" si="27"/>
        <v>0</v>
      </c>
      <c r="N121" s="98"/>
      <c r="O121" s="98"/>
      <c r="P121" s="101">
        <f t="shared" ca="1" si="28"/>
        <v>0.14285714285714285</v>
      </c>
    </row>
    <row r="122" spans="2:16" outlineLevel="1" x14ac:dyDescent="0.25">
      <c r="B122" s="95" t="s">
        <v>657</v>
      </c>
      <c r="C122" s="243">
        <v>320515</v>
      </c>
      <c r="D122" s="107">
        <v>4</v>
      </c>
      <c r="E122" s="164">
        <v>1</v>
      </c>
      <c r="F122" s="151">
        <f t="shared" si="17"/>
        <v>3</v>
      </c>
      <c r="G122" s="112" t="s">
        <v>658</v>
      </c>
      <c r="H122" s="170">
        <v>1</v>
      </c>
      <c r="I122" s="157">
        <f t="shared" si="25"/>
        <v>0.14285714285714285</v>
      </c>
      <c r="J122" s="114">
        <v>7</v>
      </c>
      <c r="K122" s="155">
        <f t="shared" si="26"/>
        <v>44014</v>
      </c>
      <c r="L122" s="99">
        <v>0</v>
      </c>
      <c r="M122" s="233">
        <f t="shared" si="27"/>
        <v>0</v>
      </c>
      <c r="N122" s="154" t="s">
        <v>1272</v>
      </c>
      <c r="O122" s="154"/>
      <c r="P122" s="157">
        <f t="shared" ca="1" si="28"/>
        <v>0.14285714285714285</v>
      </c>
    </row>
    <row r="123" spans="2:16" outlineLevel="1" x14ac:dyDescent="0.25">
      <c r="B123" s="103" t="s">
        <v>659</v>
      </c>
      <c r="C123" s="243">
        <v>576504</v>
      </c>
      <c r="D123" s="107">
        <v>0</v>
      </c>
      <c r="E123" s="164" t="s">
        <v>1292</v>
      </c>
      <c r="F123" s="151" t="e">
        <f t="shared" si="17"/>
        <v>#VALUE!</v>
      </c>
      <c r="G123" s="229" t="s">
        <v>1288</v>
      </c>
      <c r="H123" s="170"/>
      <c r="I123" s="157"/>
      <c r="J123" s="114"/>
      <c r="K123" s="155"/>
      <c r="L123" s="99"/>
      <c r="M123" s="233"/>
      <c r="N123" s="154"/>
      <c r="O123" s="154"/>
      <c r="P123" s="157"/>
    </row>
    <row r="124" spans="2:16" outlineLevel="1" x14ac:dyDescent="0.25">
      <c r="B124" s="149" t="s">
        <v>661</v>
      </c>
      <c r="C124" s="243">
        <v>576512</v>
      </c>
      <c r="D124" s="107">
        <v>0</v>
      </c>
      <c r="E124" s="164" t="s">
        <v>1292</v>
      </c>
      <c r="F124" s="151" t="e">
        <f t="shared" si="17"/>
        <v>#VALUE!</v>
      </c>
      <c r="G124" s="112" t="s">
        <v>1289</v>
      </c>
      <c r="H124" s="170"/>
      <c r="I124" s="157"/>
      <c r="J124" s="114"/>
      <c r="K124" s="155"/>
      <c r="L124" s="99"/>
      <c r="M124" s="233"/>
      <c r="N124" s="154"/>
      <c r="O124" s="154"/>
      <c r="P124" s="157"/>
    </row>
    <row r="125" spans="2:16" outlineLevel="1" x14ac:dyDescent="0.25">
      <c r="B125" s="149"/>
      <c r="C125" s="243">
        <v>123117</v>
      </c>
      <c r="D125" s="107"/>
      <c r="E125" s="164">
        <v>1</v>
      </c>
      <c r="F125" s="151"/>
      <c r="G125" s="112" t="s">
        <v>1579</v>
      </c>
      <c r="H125" s="170"/>
      <c r="I125" s="157"/>
      <c r="J125" s="114"/>
      <c r="K125" s="155"/>
      <c r="L125" s="99"/>
      <c r="M125" s="233"/>
      <c r="N125" s="154"/>
      <c r="O125" s="154"/>
      <c r="P125" s="157"/>
    </row>
    <row r="126" spans="2:16" outlineLevel="1" x14ac:dyDescent="0.25">
      <c r="B126" s="149"/>
      <c r="C126" s="243">
        <v>123125</v>
      </c>
      <c r="D126" s="107"/>
      <c r="E126" s="164">
        <v>2</v>
      </c>
      <c r="F126" s="151"/>
      <c r="G126" s="112" t="s">
        <v>1580</v>
      </c>
      <c r="H126" s="170"/>
      <c r="I126" s="157"/>
      <c r="J126" s="114"/>
      <c r="K126" s="155"/>
      <c r="L126" s="99"/>
      <c r="M126" s="233"/>
      <c r="N126" s="154"/>
      <c r="O126" s="154"/>
      <c r="P126" s="157"/>
    </row>
    <row r="127" spans="2:16" outlineLevel="1" x14ac:dyDescent="0.25">
      <c r="B127" s="149"/>
      <c r="C127" s="243">
        <v>123133</v>
      </c>
      <c r="D127" s="107"/>
      <c r="E127" s="164">
        <v>2</v>
      </c>
      <c r="F127" s="151"/>
      <c r="G127" s="112" t="s">
        <v>1581</v>
      </c>
      <c r="H127" s="170"/>
      <c r="I127" s="157"/>
      <c r="J127" s="114"/>
      <c r="K127" s="155"/>
      <c r="L127" s="99"/>
      <c r="M127" s="233"/>
      <c r="N127" s="154"/>
      <c r="O127" s="154"/>
      <c r="P127" s="157"/>
    </row>
    <row r="128" spans="2:16" outlineLevel="1" x14ac:dyDescent="0.25">
      <c r="B128" s="149"/>
      <c r="C128" s="243">
        <v>123141</v>
      </c>
      <c r="D128" s="107"/>
      <c r="E128" s="164">
        <v>1</v>
      </c>
      <c r="F128" s="151"/>
      <c r="G128" s="112" t="s">
        <v>1582</v>
      </c>
      <c r="H128" s="170"/>
      <c r="I128" s="157"/>
      <c r="J128" s="114"/>
      <c r="K128" s="155"/>
      <c r="L128" s="99"/>
      <c r="M128" s="233"/>
      <c r="N128" s="154"/>
      <c r="O128" s="154"/>
      <c r="P128" s="157"/>
    </row>
    <row r="129" spans="2:16" outlineLevel="1" x14ac:dyDescent="0.25">
      <c r="B129" s="95" t="s">
        <v>663</v>
      </c>
      <c r="C129" s="235">
        <v>73577</v>
      </c>
      <c r="D129" s="107">
        <f>IFERROR(VLOOKUP(C129,Tabla_APL[[STOCKCODE]:[TYPE]],3,FALSE),"")</f>
        <v>1380</v>
      </c>
      <c r="E129" s="107">
        <v>100</v>
      </c>
      <c r="F129" s="135">
        <f t="shared" si="17"/>
        <v>1280</v>
      </c>
      <c r="G129" s="229" t="s">
        <v>660</v>
      </c>
      <c r="H129" s="170">
        <v>1</v>
      </c>
      <c r="I129" s="101">
        <f>IF(H129=1,1/SUM(H$117:H$134),0)</f>
        <v>0.14285714285714285</v>
      </c>
      <c r="J129" s="110">
        <v>7</v>
      </c>
      <c r="K129" s="137">
        <f t="shared" si="26"/>
        <v>44014</v>
      </c>
      <c r="L129" s="99">
        <v>0.3</v>
      </c>
      <c r="M129" s="231">
        <f t="shared" si="27"/>
        <v>4.2857142857142851E-2</v>
      </c>
      <c r="N129" s="98"/>
      <c r="O129" s="98"/>
      <c r="P129" s="101">
        <f ca="1">(IF(K129&lt;=TODAY(),1,0))*I129</f>
        <v>0.14285714285714285</v>
      </c>
    </row>
    <row r="130" spans="2:16" outlineLevel="1" x14ac:dyDescent="0.25">
      <c r="B130" s="103" t="s">
        <v>1290</v>
      </c>
      <c r="C130" s="506">
        <v>339093</v>
      </c>
      <c r="D130" s="107" t="str">
        <f>IFERROR(VLOOKUP(C130,Tabla_APL[[STOCKCODE]:[TYPE]],3,FALSE),"")</f>
        <v/>
      </c>
      <c r="E130" s="107"/>
      <c r="F130" s="135" t="e">
        <f t="shared" si="17"/>
        <v>#VALUE!</v>
      </c>
      <c r="G130" s="229" t="s">
        <v>1555</v>
      </c>
      <c r="H130" s="170"/>
      <c r="I130" s="101"/>
      <c r="J130" s="110"/>
      <c r="K130" s="137"/>
      <c r="L130" s="99"/>
      <c r="M130" s="231"/>
      <c r="N130" s="98"/>
      <c r="O130" s="98"/>
      <c r="P130" s="101"/>
    </row>
    <row r="131" spans="2:16" outlineLevel="1" x14ac:dyDescent="0.25">
      <c r="B131" s="149" t="s">
        <v>1291</v>
      </c>
      <c r="C131" s="506">
        <v>151571</v>
      </c>
      <c r="D131" s="107">
        <f>IFERROR(VLOOKUP(C131,Tabla_APL[[STOCKCODE]:[TYPE]],3,FALSE),"")</f>
        <v>217</v>
      </c>
      <c r="E131" s="107">
        <v>50</v>
      </c>
      <c r="F131" s="135">
        <f t="shared" si="17"/>
        <v>167</v>
      </c>
      <c r="G131" s="229" t="s">
        <v>1556</v>
      </c>
      <c r="H131" s="170"/>
      <c r="I131" s="101"/>
      <c r="J131" s="110"/>
      <c r="K131" s="137"/>
      <c r="L131" s="99"/>
      <c r="M131" s="231"/>
      <c r="N131" s="98"/>
      <c r="O131" s="98"/>
      <c r="P131" s="101"/>
    </row>
    <row r="132" spans="2:16" outlineLevel="1" x14ac:dyDescent="0.25">
      <c r="B132" s="149"/>
      <c r="C132" s="235">
        <v>759859</v>
      </c>
      <c r="D132" s="107"/>
      <c r="E132" s="107"/>
      <c r="F132" s="135"/>
      <c r="G132" s="229" t="s">
        <v>1722</v>
      </c>
      <c r="H132" s="170"/>
      <c r="I132" s="101"/>
      <c r="J132" s="110"/>
      <c r="K132" s="137"/>
      <c r="L132" s="99"/>
      <c r="M132" s="231"/>
      <c r="N132" s="98"/>
      <c r="O132" s="98"/>
      <c r="P132" s="101"/>
    </row>
    <row r="133" spans="2:16" outlineLevel="1" x14ac:dyDescent="0.25">
      <c r="B133" s="95" t="s">
        <v>1557</v>
      </c>
      <c r="C133" s="164">
        <v>73569</v>
      </c>
      <c r="D133" s="164">
        <f>IFERROR(VLOOKUP(C133,Tabla_APL[[STOCKCODE]:[TYPE]],3,FALSE),"")</f>
        <v>0</v>
      </c>
      <c r="E133" s="164">
        <v>120</v>
      </c>
      <c r="F133" s="151">
        <f t="shared" si="17"/>
        <v>-120</v>
      </c>
      <c r="G133" s="112" t="s">
        <v>662</v>
      </c>
      <c r="H133" s="170">
        <v>1</v>
      </c>
      <c r="I133" s="157">
        <f>IF(H133=1,1/SUM(H$117:H$134),0)</f>
        <v>0.14285714285714285</v>
      </c>
      <c r="J133" s="114">
        <v>7</v>
      </c>
      <c r="K133" s="155">
        <f t="shared" si="26"/>
        <v>44014</v>
      </c>
      <c r="L133" s="99">
        <v>0</v>
      </c>
      <c r="M133" s="233">
        <f t="shared" si="27"/>
        <v>0</v>
      </c>
      <c r="N133" s="154"/>
      <c r="O133" s="154"/>
      <c r="P133" s="157">
        <f ca="1">(IF(K133&lt;=TODAY(),1,0))*I133</f>
        <v>0.14285714285714285</v>
      </c>
    </row>
    <row r="134" spans="2:16" outlineLevel="1" x14ac:dyDescent="0.25">
      <c r="B134" s="103" t="s">
        <v>1558</v>
      </c>
      <c r="C134" s="244">
        <v>551341</v>
      </c>
      <c r="D134" s="242">
        <f>IFERROR(VLOOKUP(C134,Tabla_APL[[STOCKCODE]:[TYPE]],3,FALSE),"")</f>
        <v>0</v>
      </c>
      <c r="E134" s="242">
        <v>150</v>
      </c>
      <c r="F134" s="221">
        <f t="shared" si="17"/>
        <v>-150</v>
      </c>
      <c r="G134" s="229" t="s">
        <v>664</v>
      </c>
      <c r="H134" s="170">
        <v>1</v>
      </c>
      <c r="I134" s="101">
        <f>IF(H134=1,1/SUM(H$117:H$134),0)</f>
        <v>0.14285714285714285</v>
      </c>
      <c r="J134" s="110">
        <v>7</v>
      </c>
      <c r="K134" s="137">
        <f t="shared" si="26"/>
        <v>44014</v>
      </c>
      <c r="L134" s="99">
        <v>0.3</v>
      </c>
      <c r="M134" s="231">
        <f t="shared" si="27"/>
        <v>4.2857142857142851E-2</v>
      </c>
      <c r="N134" s="102"/>
      <c r="O134" s="172"/>
      <c r="P134" s="101">
        <f ca="1">(IF(K134&lt;=TODAY(),1,0))*I134</f>
        <v>0.14285714285714285</v>
      </c>
    </row>
    <row r="135" spans="2:16" ht="31.5" outlineLevel="1" x14ac:dyDescent="0.25">
      <c r="B135" s="213">
        <v>1.9</v>
      </c>
      <c r="C135" s="171" t="s">
        <v>335</v>
      </c>
      <c r="D135" s="184" t="s">
        <v>320</v>
      </c>
      <c r="E135" s="171" t="s">
        <v>319</v>
      </c>
      <c r="F135" s="171" t="s">
        <v>453</v>
      </c>
      <c r="G135" s="171" t="s">
        <v>665</v>
      </c>
      <c r="H135" s="171" t="s">
        <v>333</v>
      </c>
      <c r="I135" s="214">
        <f>SUM(I136:I164)</f>
        <v>0.88888888888888917</v>
      </c>
      <c r="J135" s="171" t="s">
        <v>299</v>
      </c>
      <c r="K135" s="171" t="s">
        <v>339</v>
      </c>
      <c r="L135" s="214">
        <f>AVERAGE(L136:L164)</f>
        <v>0.33749999999999991</v>
      </c>
      <c r="M135" s="214">
        <f>SUM(M136:M164)</f>
        <v>0.26666666666666666</v>
      </c>
      <c r="N135" s="171" t="s">
        <v>340</v>
      </c>
      <c r="O135" s="171" t="s">
        <v>321</v>
      </c>
      <c r="P135" s="214">
        <f ca="1">SUM(P136:P164)</f>
        <v>0.88888888888888917</v>
      </c>
    </row>
    <row r="136" spans="2:16" outlineLevel="1" x14ac:dyDescent="0.25">
      <c r="B136" s="103" t="s">
        <v>666</v>
      </c>
      <c r="C136" s="245">
        <v>747190</v>
      </c>
      <c r="D136" s="228">
        <f>IFERROR(VLOOKUP(C136,Tabla_APL[[STOCKCODE]:[TYPE]],3,FALSE),"")</f>
        <v>13</v>
      </c>
      <c r="E136" s="228">
        <v>2</v>
      </c>
      <c r="F136" s="135">
        <f t="shared" si="17"/>
        <v>11</v>
      </c>
      <c r="G136" s="264" t="s">
        <v>667</v>
      </c>
      <c r="H136" s="170">
        <v>0</v>
      </c>
      <c r="I136" s="101">
        <f t="shared" ref="I136:I144" si="29">IF(H136=1,1/SUM(H$136:H$164),0)</f>
        <v>0</v>
      </c>
      <c r="J136" s="110">
        <v>30</v>
      </c>
      <c r="K136" s="137">
        <f t="shared" ref="K136:K164" si="30">$G$7-J136</f>
        <v>43991</v>
      </c>
      <c r="L136" s="99">
        <v>1</v>
      </c>
      <c r="M136" s="231">
        <f t="shared" ref="M136:M196" si="31">I136*L136</f>
        <v>0</v>
      </c>
      <c r="N136" s="102"/>
      <c r="O136" s="172"/>
      <c r="P136" s="101">
        <f t="shared" ref="P136:P144" ca="1" si="32">(IF(K136&lt;=TODAY(),1,0))*I136</f>
        <v>0</v>
      </c>
    </row>
    <row r="137" spans="2:16" outlineLevel="1" x14ac:dyDescent="0.25">
      <c r="B137" s="149" t="s">
        <v>668</v>
      </c>
      <c r="C137" s="243">
        <v>747189</v>
      </c>
      <c r="D137" s="164">
        <f>IFERROR(VLOOKUP(C137,Tabla_APL[[STOCKCODE]:[TYPE]],3,FALSE),"")</f>
        <v>11</v>
      </c>
      <c r="E137" s="164">
        <v>2</v>
      </c>
      <c r="F137" s="151">
        <f t="shared" si="17"/>
        <v>9</v>
      </c>
      <c r="G137" s="232" t="s">
        <v>1271</v>
      </c>
      <c r="H137" s="170">
        <v>1</v>
      </c>
      <c r="I137" s="157">
        <f t="shared" si="29"/>
        <v>5.5555555555555552E-2</v>
      </c>
      <c r="J137" s="114">
        <v>30</v>
      </c>
      <c r="K137" s="155">
        <f t="shared" si="30"/>
        <v>43991</v>
      </c>
      <c r="L137" s="99">
        <v>0.3</v>
      </c>
      <c r="M137" s="233">
        <f t="shared" si="31"/>
        <v>1.6666666666666666E-2</v>
      </c>
      <c r="N137" s="102"/>
      <c r="O137" s="173"/>
      <c r="P137" s="157">
        <f t="shared" ca="1" si="32"/>
        <v>5.5555555555555552E-2</v>
      </c>
    </row>
    <row r="138" spans="2:16" outlineLevel="1" x14ac:dyDescent="0.25">
      <c r="B138" s="103" t="s">
        <v>669</v>
      </c>
      <c r="C138" s="95">
        <v>686485</v>
      </c>
      <c r="D138" s="164">
        <f>IFERROR(VLOOKUP(C138,Tabla_APL[[STOCKCODE]:[TYPE]],3,FALSE),"")</f>
        <v>13</v>
      </c>
      <c r="E138" s="107">
        <v>2</v>
      </c>
      <c r="F138" s="135">
        <f t="shared" si="17"/>
        <v>11</v>
      </c>
      <c r="G138" s="229" t="s">
        <v>670</v>
      </c>
      <c r="H138" s="170">
        <v>1</v>
      </c>
      <c r="I138" s="101">
        <f t="shared" si="29"/>
        <v>5.5555555555555552E-2</v>
      </c>
      <c r="J138" s="110">
        <v>30</v>
      </c>
      <c r="K138" s="137">
        <f t="shared" si="30"/>
        <v>43991</v>
      </c>
      <c r="L138" s="99">
        <v>0.3</v>
      </c>
      <c r="M138" s="231">
        <f t="shared" si="31"/>
        <v>1.6666666666666666E-2</v>
      </c>
      <c r="N138" s="102"/>
      <c r="O138" s="172"/>
      <c r="P138" s="101">
        <f t="shared" ca="1" si="32"/>
        <v>5.5555555555555552E-2</v>
      </c>
    </row>
    <row r="139" spans="2:16" outlineLevel="1" x14ac:dyDescent="0.25">
      <c r="B139" s="149" t="s">
        <v>671</v>
      </c>
      <c r="C139" s="149">
        <v>166835</v>
      </c>
      <c r="D139" s="164">
        <f>IFERROR(VLOOKUP(C139,Tabla_APL[[STOCKCODE]:[TYPE]],3,FALSE),"")</f>
        <v>21</v>
      </c>
      <c r="E139" s="164">
        <v>4</v>
      </c>
      <c r="F139" s="151">
        <f t="shared" si="17"/>
        <v>17</v>
      </c>
      <c r="G139" s="232" t="s">
        <v>672</v>
      </c>
      <c r="H139" s="170">
        <v>0</v>
      </c>
      <c r="I139" s="157">
        <f t="shared" si="29"/>
        <v>0</v>
      </c>
      <c r="J139" s="114">
        <v>30</v>
      </c>
      <c r="K139" s="155">
        <f t="shared" si="30"/>
        <v>43991</v>
      </c>
      <c r="L139" s="99">
        <v>1</v>
      </c>
      <c r="M139" s="233">
        <f t="shared" si="31"/>
        <v>0</v>
      </c>
      <c r="N139" s="154"/>
      <c r="O139" s="173"/>
      <c r="P139" s="157">
        <f t="shared" ca="1" si="32"/>
        <v>0</v>
      </c>
    </row>
    <row r="140" spans="2:16" outlineLevel="1" x14ac:dyDescent="0.25">
      <c r="B140" s="103" t="s">
        <v>673</v>
      </c>
      <c r="C140" s="103">
        <v>306779</v>
      </c>
      <c r="D140" s="164">
        <f>IFERROR(VLOOKUP(C140,Tabla_APL[[STOCKCODE]:[TYPE]],3,FALSE),"")</f>
        <v>5</v>
      </c>
      <c r="E140" s="235">
        <v>4</v>
      </c>
      <c r="F140" s="135">
        <f t="shared" si="17"/>
        <v>1</v>
      </c>
      <c r="G140" s="264" t="s">
        <v>674</v>
      </c>
      <c r="H140" s="170">
        <v>1</v>
      </c>
      <c r="I140" s="101">
        <f t="shared" si="29"/>
        <v>5.5555555555555552E-2</v>
      </c>
      <c r="J140" s="110">
        <v>30</v>
      </c>
      <c r="K140" s="137">
        <f t="shared" si="30"/>
        <v>43991</v>
      </c>
      <c r="L140" s="99">
        <v>0.3</v>
      </c>
      <c r="M140" s="231">
        <f t="shared" si="31"/>
        <v>1.6666666666666666E-2</v>
      </c>
      <c r="N140" s="98"/>
      <c r="O140" s="172"/>
      <c r="P140" s="101">
        <f t="shared" ca="1" si="32"/>
        <v>5.5555555555555552E-2</v>
      </c>
    </row>
    <row r="141" spans="2:16" outlineLevel="1" x14ac:dyDescent="0.25">
      <c r="B141" s="149" t="s">
        <v>675</v>
      </c>
      <c r="C141" s="149">
        <v>321125</v>
      </c>
      <c r="D141" s="164">
        <f>IFERROR(VLOOKUP(C141,Tabla_APL[[STOCKCODE]:[TYPE]],3,FALSE),"")</f>
        <v>28</v>
      </c>
      <c r="E141" s="164">
        <v>4</v>
      </c>
      <c r="F141" s="151">
        <f t="shared" si="17"/>
        <v>24</v>
      </c>
      <c r="G141" s="232" t="s">
        <v>676</v>
      </c>
      <c r="H141" s="170">
        <v>1</v>
      </c>
      <c r="I141" s="157">
        <f t="shared" si="29"/>
        <v>5.5555555555555552E-2</v>
      </c>
      <c r="J141" s="114">
        <v>30</v>
      </c>
      <c r="K141" s="155">
        <f t="shared" si="30"/>
        <v>43991</v>
      </c>
      <c r="L141" s="99">
        <v>0.3</v>
      </c>
      <c r="M141" s="233">
        <f t="shared" si="31"/>
        <v>1.6666666666666666E-2</v>
      </c>
      <c r="N141" s="154"/>
      <c r="O141" s="173"/>
      <c r="P141" s="157">
        <f t="shared" ca="1" si="32"/>
        <v>5.5555555555555552E-2</v>
      </c>
    </row>
    <row r="142" spans="2:16" outlineLevel="1" x14ac:dyDescent="0.25">
      <c r="B142" s="103" t="s">
        <v>677</v>
      </c>
      <c r="C142" s="95">
        <v>275123</v>
      </c>
      <c r="D142" s="164">
        <f>IFERROR(VLOOKUP(C142,Tabla_APL[[STOCKCODE]:[TYPE]],3,FALSE),"")</f>
        <v>11</v>
      </c>
      <c r="E142" s="107">
        <v>2</v>
      </c>
      <c r="F142" s="135">
        <f t="shared" si="17"/>
        <v>9</v>
      </c>
      <c r="G142" s="229" t="s">
        <v>678</v>
      </c>
      <c r="H142" s="170">
        <v>1</v>
      </c>
      <c r="I142" s="101">
        <f t="shared" si="29"/>
        <v>5.5555555555555552E-2</v>
      </c>
      <c r="J142" s="110">
        <v>30</v>
      </c>
      <c r="K142" s="137">
        <f t="shared" si="30"/>
        <v>43991</v>
      </c>
      <c r="L142" s="99">
        <v>0.3</v>
      </c>
      <c r="M142" s="231">
        <f t="shared" si="31"/>
        <v>1.6666666666666666E-2</v>
      </c>
      <c r="N142" s="102"/>
      <c r="O142" s="172"/>
      <c r="P142" s="101">
        <f t="shared" ca="1" si="32"/>
        <v>5.5555555555555552E-2</v>
      </c>
    </row>
    <row r="143" spans="2:16" outlineLevel="1" x14ac:dyDescent="0.25">
      <c r="B143" s="149" t="s">
        <v>679</v>
      </c>
      <c r="C143" s="149">
        <v>469684</v>
      </c>
      <c r="D143" s="164">
        <f>IFERROR(VLOOKUP(C143,Tabla_APL[[STOCKCODE]:[TYPE]],3,FALSE),"")</f>
        <v>19</v>
      </c>
      <c r="E143" s="164">
        <v>4</v>
      </c>
      <c r="F143" s="151">
        <f t="shared" si="17"/>
        <v>15</v>
      </c>
      <c r="G143" s="232" t="s">
        <v>680</v>
      </c>
      <c r="H143" s="170">
        <v>0</v>
      </c>
      <c r="I143" s="157">
        <f t="shared" si="29"/>
        <v>0</v>
      </c>
      <c r="J143" s="114">
        <v>30</v>
      </c>
      <c r="K143" s="155">
        <f t="shared" si="30"/>
        <v>43991</v>
      </c>
      <c r="L143" s="99">
        <v>1</v>
      </c>
      <c r="M143" s="233">
        <f t="shared" si="31"/>
        <v>0</v>
      </c>
      <c r="N143" s="154"/>
      <c r="O143" s="173"/>
      <c r="P143" s="157">
        <f t="shared" ca="1" si="32"/>
        <v>0</v>
      </c>
    </row>
    <row r="144" spans="2:16" outlineLevel="1" x14ac:dyDescent="0.25">
      <c r="B144" s="95" t="s">
        <v>681</v>
      </c>
      <c r="C144" s="95">
        <v>271023</v>
      </c>
      <c r="D144" s="164">
        <f>IFERROR(VLOOKUP(C144,Tabla_APL[[STOCKCODE]:[TYPE]],3,FALSE),"")</f>
        <v>12</v>
      </c>
      <c r="E144" s="235">
        <v>2</v>
      </c>
      <c r="F144" s="135">
        <f t="shared" si="17"/>
        <v>10</v>
      </c>
      <c r="G144" s="264" t="s">
        <v>682</v>
      </c>
      <c r="H144" s="170">
        <v>1</v>
      </c>
      <c r="I144" s="101">
        <f t="shared" si="29"/>
        <v>5.5555555555555552E-2</v>
      </c>
      <c r="J144" s="110">
        <v>30</v>
      </c>
      <c r="K144" s="137">
        <f t="shared" si="30"/>
        <v>43991</v>
      </c>
      <c r="L144" s="99">
        <v>0.3</v>
      </c>
      <c r="M144" s="246">
        <f t="shared" si="31"/>
        <v>1.6666666666666666E-2</v>
      </c>
      <c r="N144" s="102"/>
      <c r="O144" s="172"/>
      <c r="P144" s="104">
        <f t="shared" ca="1" si="32"/>
        <v>5.5555555555555552E-2</v>
      </c>
    </row>
    <row r="145" spans="2:16" outlineLevel="1" x14ac:dyDescent="0.25">
      <c r="B145" s="95"/>
      <c r="C145" s="95">
        <v>271015</v>
      </c>
      <c r="D145" s="164">
        <f>IFERROR(VLOOKUP(C145,Tabla_APL[[STOCKCODE]:[TYPE]],3,FALSE),"")</f>
        <v>24</v>
      </c>
      <c r="E145" s="235">
        <v>2</v>
      </c>
      <c r="F145" s="135">
        <f t="shared" si="17"/>
        <v>22</v>
      </c>
      <c r="G145" s="264" t="s">
        <v>1559</v>
      </c>
      <c r="H145" s="170"/>
      <c r="I145" s="101"/>
      <c r="J145" s="110"/>
      <c r="K145" s="137"/>
      <c r="L145" s="99"/>
      <c r="M145" s="246"/>
      <c r="N145" s="102"/>
      <c r="O145" s="172"/>
      <c r="P145" s="104"/>
    </row>
    <row r="146" spans="2:16" outlineLevel="1" x14ac:dyDescent="0.25">
      <c r="B146" s="149" t="s">
        <v>683</v>
      </c>
      <c r="C146" s="95">
        <v>355107</v>
      </c>
      <c r="D146" s="164">
        <f>IFERROR(VLOOKUP(C146,Tabla_APL[[STOCKCODE]:[TYPE]],3,FALSE),"")</f>
        <v>6</v>
      </c>
      <c r="E146" s="235">
        <v>2</v>
      </c>
      <c r="F146" s="135">
        <f t="shared" si="17"/>
        <v>4</v>
      </c>
      <c r="G146" s="264" t="s">
        <v>1472</v>
      </c>
      <c r="H146" s="170">
        <v>2</v>
      </c>
      <c r="I146" s="101">
        <f t="shared" ref="I146:I151" si="33">IF(H146=1,1/SUM(H$136:H$164),0)</f>
        <v>0</v>
      </c>
      <c r="J146" s="110">
        <v>31</v>
      </c>
      <c r="K146" s="137">
        <f>$G$7-J146</f>
        <v>43990</v>
      </c>
      <c r="L146" s="99">
        <v>0.3</v>
      </c>
      <c r="M146" s="246">
        <f>I146*L146</f>
        <v>0</v>
      </c>
      <c r="N146" s="102"/>
      <c r="O146" s="172"/>
      <c r="P146" s="104">
        <f t="shared" ref="P146:P160" ca="1" si="34">(IF(K146&lt;=TODAY(),1,0))*I146</f>
        <v>0</v>
      </c>
    </row>
    <row r="147" spans="2:16" outlineLevel="1" x14ac:dyDescent="0.25">
      <c r="B147" s="95" t="s">
        <v>685</v>
      </c>
      <c r="C147" s="149">
        <v>394213</v>
      </c>
      <c r="D147" s="164">
        <f>IFERROR(VLOOKUP(C147,Tabla_APL[[STOCKCODE]:[TYPE]],3,FALSE),"")</f>
        <v>237</v>
      </c>
      <c r="E147" s="164">
        <v>40</v>
      </c>
      <c r="F147" s="151">
        <f t="shared" si="17"/>
        <v>197</v>
      </c>
      <c r="G147" s="232" t="s">
        <v>684</v>
      </c>
      <c r="H147" s="170">
        <v>1</v>
      </c>
      <c r="I147" s="157">
        <f t="shared" si="33"/>
        <v>5.5555555555555552E-2</v>
      </c>
      <c r="J147" s="114">
        <v>30</v>
      </c>
      <c r="K147" s="155">
        <f t="shared" si="30"/>
        <v>43991</v>
      </c>
      <c r="L147" s="99">
        <v>0.3</v>
      </c>
      <c r="M147" s="233">
        <f t="shared" si="31"/>
        <v>1.6666666666666666E-2</v>
      </c>
      <c r="N147" s="154"/>
      <c r="O147" s="173"/>
      <c r="P147" s="157">
        <f t="shared" ca="1" si="34"/>
        <v>5.5555555555555552E-2</v>
      </c>
    </row>
    <row r="148" spans="2:16" ht="26.1" customHeight="1" outlineLevel="1" x14ac:dyDescent="0.25">
      <c r="B148" s="95" t="s">
        <v>687</v>
      </c>
      <c r="C148" s="149">
        <v>355115</v>
      </c>
      <c r="D148" s="164">
        <f>IFERROR(VLOOKUP(C148,Tabla_APL[[STOCKCODE]:[TYPE]],3,FALSE),"")</f>
        <v>5</v>
      </c>
      <c r="E148" s="164">
        <v>2</v>
      </c>
      <c r="F148" s="151">
        <f t="shared" si="17"/>
        <v>3</v>
      </c>
      <c r="G148" s="232" t="s">
        <v>686</v>
      </c>
      <c r="H148" s="170">
        <v>1</v>
      </c>
      <c r="I148" s="157">
        <f t="shared" si="33"/>
        <v>5.5555555555555552E-2</v>
      </c>
      <c r="J148" s="114">
        <v>30</v>
      </c>
      <c r="K148" s="155">
        <f t="shared" si="30"/>
        <v>43991</v>
      </c>
      <c r="L148" s="99">
        <v>0.3</v>
      </c>
      <c r="M148" s="233">
        <f t="shared" si="31"/>
        <v>1.6666666666666666E-2</v>
      </c>
      <c r="N148" s="154"/>
      <c r="O148" s="173"/>
      <c r="P148" s="157">
        <f t="shared" ca="1" si="34"/>
        <v>5.5555555555555552E-2</v>
      </c>
    </row>
    <row r="149" spans="2:16" outlineLevel="1" x14ac:dyDescent="0.25">
      <c r="B149" s="149" t="s">
        <v>689</v>
      </c>
      <c r="C149" s="95">
        <v>394601</v>
      </c>
      <c r="D149" s="164">
        <f>IFERROR(VLOOKUP(C149,Tabla_APL[[STOCKCODE]:[TYPE]],3,FALSE),"")</f>
        <v>16</v>
      </c>
      <c r="E149" s="107">
        <v>8</v>
      </c>
      <c r="F149" s="135">
        <f t="shared" si="17"/>
        <v>8</v>
      </c>
      <c r="G149" s="229" t="s">
        <v>688</v>
      </c>
      <c r="H149" s="170">
        <v>1</v>
      </c>
      <c r="I149" s="101">
        <f t="shared" si="33"/>
        <v>5.5555555555555552E-2</v>
      </c>
      <c r="J149" s="110">
        <v>30</v>
      </c>
      <c r="K149" s="137">
        <f t="shared" si="30"/>
        <v>43991</v>
      </c>
      <c r="L149" s="99">
        <v>0.3</v>
      </c>
      <c r="M149" s="246">
        <f t="shared" si="31"/>
        <v>1.6666666666666666E-2</v>
      </c>
      <c r="N149" s="102"/>
      <c r="O149" s="172"/>
      <c r="P149" s="104">
        <f t="shared" ca="1" si="34"/>
        <v>5.5555555555555552E-2</v>
      </c>
    </row>
    <row r="150" spans="2:16" outlineLevel="1" x14ac:dyDescent="0.25">
      <c r="B150" s="265" t="s">
        <v>692</v>
      </c>
      <c r="C150" s="247">
        <v>175190</v>
      </c>
      <c r="D150" s="164">
        <f>IFERROR(VLOOKUP(C150,Tabla_APL[[STOCKCODE]:[TYPE]],3,FALSE),"")</f>
        <v>6</v>
      </c>
      <c r="E150" s="247">
        <v>4</v>
      </c>
      <c r="F150" s="216">
        <f t="shared" si="17"/>
        <v>2</v>
      </c>
      <c r="G150" s="248" t="s">
        <v>690</v>
      </c>
      <c r="H150" s="249">
        <v>0</v>
      </c>
      <c r="I150" s="217">
        <f t="shared" si="33"/>
        <v>0</v>
      </c>
      <c r="J150" s="250">
        <v>30</v>
      </c>
      <c r="K150" s="218">
        <f t="shared" si="30"/>
        <v>43991</v>
      </c>
      <c r="L150" s="219">
        <v>0</v>
      </c>
      <c r="M150" s="251">
        <f t="shared" si="31"/>
        <v>0</v>
      </c>
      <c r="N150" s="476" t="s">
        <v>691</v>
      </c>
      <c r="O150" s="252"/>
      <c r="P150" s="217">
        <f t="shared" ca="1" si="34"/>
        <v>0</v>
      </c>
    </row>
    <row r="151" spans="2:16" outlineLevel="1" x14ac:dyDescent="0.25">
      <c r="B151" s="265" t="s">
        <v>694</v>
      </c>
      <c r="C151" s="247">
        <v>175208</v>
      </c>
      <c r="D151" s="164">
        <f>IFERROR(VLOOKUP(C151,Tabla_APL[[STOCKCODE]:[TYPE]],3,FALSE),"")</f>
        <v>4</v>
      </c>
      <c r="E151" s="247">
        <v>2</v>
      </c>
      <c r="F151" s="216">
        <f t="shared" si="17"/>
        <v>2</v>
      </c>
      <c r="G151" s="248" t="s">
        <v>693</v>
      </c>
      <c r="H151" s="249">
        <v>0</v>
      </c>
      <c r="I151" s="217">
        <f t="shared" si="33"/>
        <v>0</v>
      </c>
      <c r="J151" s="250">
        <v>30</v>
      </c>
      <c r="K151" s="218">
        <f t="shared" si="30"/>
        <v>43991</v>
      </c>
      <c r="L151" s="219">
        <v>0</v>
      </c>
      <c r="M151" s="251">
        <f t="shared" si="31"/>
        <v>0</v>
      </c>
      <c r="N151" s="476"/>
      <c r="O151" s="252"/>
      <c r="P151" s="217">
        <f t="shared" ca="1" si="34"/>
        <v>0</v>
      </c>
    </row>
    <row r="152" spans="2:16" outlineLevel="1" x14ac:dyDescent="0.25">
      <c r="B152" s="265"/>
      <c r="C152" s="247">
        <v>513713</v>
      </c>
      <c r="D152" s="164"/>
      <c r="E152" s="247"/>
      <c r="F152" s="216"/>
      <c r="G152" s="248" t="s">
        <v>1664</v>
      </c>
      <c r="H152" s="249"/>
      <c r="I152" s="217"/>
      <c r="J152" s="250"/>
      <c r="K152" s="218"/>
      <c r="L152" s="219"/>
      <c r="M152" s="251"/>
      <c r="N152" s="476"/>
      <c r="O152" s="252"/>
      <c r="P152" s="217"/>
    </row>
    <row r="153" spans="2:16" outlineLevel="1" x14ac:dyDescent="0.25">
      <c r="B153" s="265" t="s">
        <v>696</v>
      </c>
      <c r="C153" s="247">
        <v>73676</v>
      </c>
      <c r="D153" s="164">
        <f>IFERROR(VLOOKUP(C153,Tabla_APL[[STOCKCODE]:[TYPE]],3,FALSE),"")</f>
        <v>2</v>
      </c>
      <c r="E153" s="247">
        <v>1</v>
      </c>
      <c r="F153" s="216">
        <f t="shared" si="17"/>
        <v>1</v>
      </c>
      <c r="G153" s="248" t="s">
        <v>695</v>
      </c>
      <c r="H153" s="249">
        <v>0</v>
      </c>
      <c r="I153" s="217">
        <f t="shared" ref="I153:I160" si="35">IF(H153=1,1/SUM(H$136:H$164),0)</f>
        <v>0</v>
      </c>
      <c r="J153" s="250">
        <v>30</v>
      </c>
      <c r="K153" s="218">
        <f t="shared" si="30"/>
        <v>43991</v>
      </c>
      <c r="L153" s="219">
        <v>0</v>
      </c>
      <c r="M153" s="251">
        <f t="shared" si="31"/>
        <v>0</v>
      </c>
      <c r="N153" s="476"/>
      <c r="O153" s="252"/>
      <c r="P153" s="217">
        <f t="shared" ca="1" si="34"/>
        <v>0</v>
      </c>
    </row>
    <row r="154" spans="2:16" outlineLevel="1" x14ac:dyDescent="0.25">
      <c r="B154" s="149" t="s">
        <v>698</v>
      </c>
      <c r="C154" s="103">
        <v>358580</v>
      </c>
      <c r="D154" s="164">
        <f>IFERROR(VLOOKUP(C154,Tabla_APL[[STOCKCODE]:[TYPE]],3,FALSE),"")</f>
        <v>7</v>
      </c>
      <c r="E154" s="228">
        <v>2</v>
      </c>
      <c r="F154" s="135">
        <f t="shared" si="17"/>
        <v>5</v>
      </c>
      <c r="G154" s="264" t="s">
        <v>697</v>
      </c>
      <c r="H154" s="170">
        <v>1</v>
      </c>
      <c r="I154" s="101">
        <f t="shared" si="35"/>
        <v>5.5555555555555552E-2</v>
      </c>
      <c r="J154" s="110">
        <v>30</v>
      </c>
      <c r="K154" s="137">
        <f t="shared" si="30"/>
        <v>43991</v>
      </c>
      <c r="L154" s="99">
        <v>0.3</v>
      </c>
      <c r="M154" s="246">
        <f t="shared" si="31"/>
        <v>1.6666666666666666E-2</v>
      </c>
      <c r="N154" s="102"/>
      <c r="O154" s="172"/>
      <c r="P154" s="104">
        <f t="shared" ca="1" si="34"/>
        <v>5.5555555555555552E-2</v>
      </c>
    </row>
    <row r="155" spans="2:16" outlineLevel="1" x14ac:dyDescent="0.25">
      <c r="B155" s="95" t="s">
        <v>700</v>
      </c>
      <c r="C155" s="149">
        <v>358572</v>
      </c>
      <c r="D155" s="164">
        <f>IFERROR(VLOOKUP(C155,Tabla_APL[[STOCKCODE]:[TYPE]],3,FALSE),"")</f>
        <v>7</v>
      </c>
      <c r="E155" s="164">
        <v>2</v>
      </c>
      <c r="F155" s="151">
        <f t="shared" si="17"/>
        <v>5</v>
      </c>
      <c r="G155" s="232" t="s">
        <v>699</v>
      </c>
      <c r="H155" s="170">
        <v>1</v>
      </c>
      <c r="I155" s="157">
        <f t="shared" si="35"/>
        <v>5.5555555555555552E-2</v>
      </c>
      <c r="J155" s="114">
        <v>30</v>
      </c>
      <c r="K155" s="155">
        <f t="shared" si="30"/>
        <v>43991</v>
      </c>
      <c r="L155" s="99">
        <v>0.3</v>
      </c>
      <c r="M155" s="233">
        <f t="shared" si="31"/>
        <v>1.6666666666666666E-2</v>
      </c>
      <c r="N155" s="154"/>
      <c r="O155" s="173"/>
      <c r="P155" s="157">
        <f t="shared" ca="1" si="34"/>
        <v>5.5555555555555552E-2</v>
      </c>
    </row>
    <row r="156" spans="2:16" outlineLevel="1" x14ac:dyDescent="0.25">
      <c r="B156" s="149" t="s">
        <v>703</v>
      </c>
      <c r="C156" s="95">
        <v>88930</v>
      </c>
      <c r="D156" s="164">
        <f>IFERROR(VLOOKUP(C156,Tabla_APL[[STOCKCODE]:[TYPE]],3,FALSE),"")</f>
        <v>1954</v>
      </c>
      <c r="E156" s="111">
        <v>200</v>
      </c>
      <c r="F156" s="135">
        <f t="shared" si="17"/>
        <v>1754</v>
      </c>
      <c r="G156" s="229" t="s">
        <v>701</v>
      </c>
      <c r="H156" s="170">
        <v>1</v>
      </c>
      <c r="I156" s="101">
        <f t="shared" si="35"/>
        <v>5.5555555555555552E-2</v>
      </c>
      <c r="J156" s="110">
        <v>30</v>
      </c>
      <c r="K156" s="137">
        <f t="shared" si="30"/>
        <v>43991</v>
      </c>
      <c r="L156" s="99">
        <v>0.3</v>
      </c>
      <c r="M156" s="246">
        <f t="shared" si="31"/>
        <v>1.6666666666666666E-2</v>
      </c>
      <c r="N156" s="102"/>
      <c r="O156" s="172"/>
      <c r="P156" s="104">
        <f t="shared" ca="1" si="34"/>
        <v>5.5555555555555552E-2</v>
      </c>
    </row>
    <row r="157" spans="2:16" outlineLevel="1" x14ac:dyDescent="0.25">
      <c r="B157" s="95" t="s">
        <v>705</v>
      </c>
      <c r="C157" s="149">
        <v>73635</v>
      </c>
      <c r="D157" s="164">
        <f>IFERROR(VLOOKUP(C157,Tabla_APL[[STOCKCODE]:[TYPE]],3,FALSE),"")</f>
        <v>28</v>
      </c>
      <c r="E157" s="164">
        <v>4</v>
      </c>
      <c r="F157" s="151">
        <f t="shared" si="17"/>
        <v>24</v>
      </c>
      <c r="G157" s="232" t="s">
        <v>702</v>
      </c>
      <c r="H157" s="170">
        <v>1</v>
      </c>
      <c r="I157" s="157">
        <f t="shared" si="35"/>
        <v>5.5555555555555552E-2</v>
      </c>
      <c r="J157" s="114">
        <v>30</v>
      </c>
      <c r="K157" s="155">
        <f t="shared" si="30"/>
        <v>43991</v>
      </c>
      <c r="L157" s="99">
        <v>0.3</v>
      </c>
      <c r="M157" s="233">
        <f t="shared" si="31"/>
        <v>1.6666666666666666E-2</v>
      </c>
      <c r="N157" s="154"/>
      <c r="O157" s="173"/>
      <c r="P157" s="157">
        <f t="shared" ca="1" si="34"/>
        <v>5.5555555555555552E-2</v>
      </c>
    </row>
    <row r="158" spans="2:16" ht="31.5" outlineLevel="1" x14ac:dyDescent="0.25">
      <c r="B158" s="149" t="s">
        <v>707</v>
      </c>
      <c r="C158" s="95">
        <v>88823</v>
      </c>
      <c r="D158" s="164">
        <f>IFERROR(VLOOKUP(C158,Tabla_APL[[STOCKCODE]:[TYPE]],3,FALSE),"")</f>
        <v>1</v>
      </c>
      <c r="E158" s="111">
        <v>4</v>
      </c>
      <c r="F158" s="135">
        <f t="shared" si="17"/>
        <v>-3</v>
      </c>
      <c r="G158" s="229" t="s">
        <v>704</v>
      </c>
      <c r="H158" s="170">
        <v>1</v>
      </c>
      <c r="I158" s="101">
        <f t="shared" si="35"/>
        <v>5.5555555555555552E-2</v>
      </c>
      <c r="J158" s="110">
        <v>30</v>
      </c>
      <c r="K158" s="137">
        <f t="shared" si="30"/>
        <v>43991</v>
      </c>
      <c r="L158" s="99">
        <v>0.3</v>
      </c>
      <c r="M158" s="246">
        <f t="shared" si="31"/>
        <v>1.6666666666666666E-2</v>
      </c>
      <c r="N158" s="102"/>
      <c r="O158" s="172"/>
      <c r="P158" s="104">
        <f t="shared" ca="1" si="34"/>
        <v>5.5555555555555552E-2</v>
      </c>
    </row>
    <row r="159" spans="2:16" outlineLevel="1" x14ac:dyDescent="0.25">
      <c r="B159" s="95" t="s">
        <v>709</v>
      </c>
      <c r="C159" s="149">
        <v>394619</v>
      </c>
      <c r="D159" s="164">
        <f>IFERROR(VLOOKUP(C159,Tabla_APL[[STOCKCODE]:[TYPE]],3,FALSE),"")</f>
        <v>18</v>
      </c>
      <c r="E159" s="164">
        <v>8</v>
      </c>
      <c r="F159" s="151">
        <f t="shared" si="17"/>
        <v>10</v>
      </c>
      <c r="G159" s="232" t="s">
        <v>706</v>
      </c>
      <c r="H159" s="170">
        <v>1</v>
      </c>
      <c r="I159" s="157">
        <f t="shared" si="35"/>
        <v>5.5555555555555552E-2</v>
      </c>
      <c r="J159" s="114">
        <v>30</v>
      </c>
      <c r="K159" s="155">
        <f t="shared" si="30"/>
        <v>43991</v>
      </c>
      <c r="L159" s="99">
        <v>0.3</v>
      </c>
      <c r="M159" s="233">
        <f t="shared" si="31"/>
        <v>1.6666666666666666E-2</v>
      </c>
      <c r="N159" s="154"/>
      <c r="O159" s="173"/>
      <c r="P159" s="157">
        <f t="shared" ca="1" si="34"/>
        <v>5.5555555555555552E-2</v>
      </c>
    </row>
    <row r="160" spans="2:16" outlineLevel="1" x14ac:dyDescent="0.25">
      <c r="B160" s="149" t="s">
        <v>890</v>
      </c>
      <c r="C160" s="95">
        <v>560391</v>
      </c>
      <c r="D160" s="164">
        <f>IFERROR(VLOOKUP(C160,Tabla_APL[[STOCKCODE]:[TYPE]],3,FALSE),"")</f>
        <v>0</v>
      </c>
      <c r="E160" s="111">
        <v>6</v>
      </c>
      <c r="F160" s="135">
        <f t="shared" si="17"/>
        <v>-6</v>
      </c>
      <c r="G160" s="229" t="s">
        <v>708</v>
      </c>
      <c r="H160" s="170">
        <v>0</v>
      </c>
      <c r="I160" s="101">
        <f t="shared" si="35"/>
        <v>0</v>
      </c>
      <c r="J160" s="110">
        <v>30</v>
      </c>
      <c r="K160" s="137">
        <f t="shared" si="30"/>
        <v>43991</v>
      </c>
      <c r="L160" s="99">
        <v>0</v>
      </c>
      <c r="M160" s="246">
        <f t="shared" si="31"/>
        <v>0</v>
      </c>
      <c r="N160" s="102"/>
      <c r="O160" s="172"/>
      <c r="P160" s="104">
        <f t="shared" ca="1" si="34"/>
        <v>0</v>
      </c>
    </row>
    <row r="161" spans="2:16" outlineLevel="1" x14ac:dyDescent="0.25">
      <c r="B161" s="149"/>
      <c r="C161" s="95">
        <v>446971</v>
      </c>
      <c r="D161" s="164"/>
      <c r="E161" s="111"/>
      <c r="F161" s="135"/>
      <c r="G161" s="229" t="s">
        <v>1598</v>
      </c>
      <c r="H161" s="170"/>
      <c r="I161" s="101"/>
      <c r="J161" s="110"/>
      <c r="K161" s="137"/>
      <c r="L161" s="99"/>
      <c r="M161" s="246"/>
      <c r="N161" s="102"/>
      <c r="O161" s="172"/>
      <c r="P161" s="104"/>
    </row>
    <row r="162" spans="2:16" outlineLevel="1" x14ac:dyDescent="0.25">
      <c r="B162" s="149"/>
      <c r="C162" s="95">
        <v>55426</v>
      </c>
      <c r="D162" s="164"/>
      <c r="E162" s="111"/>
      <c r="F162" s="135"/>
      <c r="G162" s="229" t="s">
        <v>1597</v>
      </c>
      <c r="H162" s="170"/>
      <c r="I162" s="101"/>
      <c r="J162" s="110"/>
      <c r="K162" s="137"/>
      <c r="L162" s="99"/>
      <c r="M162" s="246"/>
      <c r="N162" s="102"/>
      <c r="O162" s="172"/>
      <c r="P162" s="104"/>
    </row>
    <row r="163" spans="2:16" outlineLevel="1" x14ac:dyDescent="0.25">
      <c r="B163" s="149"/>
      <c r="C163" s="95">
        <v>155002</v>
      </c>
      <c r="D163" s="164"/>
      <c r="E163" s="111"/>
      <c r="F163" s="135"/>
      <c r="G163" s="229" t="s">
        <v>1723</v>
      </c>
      <c r="H163" s="170"/>
      <c r="I163" s="101"/>
      <c r="J163" s="110"/>
      <c r="K163" s="137"/>
      <c r="L163" s="99"/>
      <c r="M163" s="246"/>
      <c r="N163" s="102"/>
      <c r="O163" s="172"/>
      <c r="P163" s="104"/>
    </row>
    <row r="164" spans="2:16" outlineLevel="1" x14ac:dyDescent="0.25">
      <c r="B164" s="95" t="s">
        <v>1274</v>
      </c>
      <c r="C164" s="149">
        <v>88849</v>
      </c>
      <c r="D164" s="164">
        <f>IFERROR(VLOOKUP(C164,Tabla_APL[[STOCKCODE]:[TYPE]],3,FALSE),"")</f>
        <v>1770</v>
      </c>
      <c r="E164" s="164">
        <v>200</v>
      </c>
      <c r="F164" s="151">
        <f t="shared" si="17"/>
        <v>1570</v>
      </c>
      <c r="G164" s="232" t="s">
        <v>1469</v>
      </c>
      <c r="H164" s="170">
        <v>1</v>
      </c>
      <c r="I164" s="157">
        <f>IF(H164=1,1/SUM(H$136:H$164),0)</f>
        <v>5.5555555555555552E-2</v>
      </c>
      <c r="J164" s="114">
        <v>30</v>
      </c>
      <c r="K164" s="155">
        <f t="shared" si="30"/>
        <v>43991</v>
      </c>
      <c r="L164" s="99">
        <v>0.3</v>
      </c>
      <c r="M164" s="233">
        <f t="shared" si="31"/>
        <v>1.6666666666666666E-2</v>
      </c>
      <c r="N164" s="154"/>
      <c r="O164" s="173"/>
      <c r="P164" s="157">
        <f ca="1">(IF(K164&lt;=TODAY(),1,0))*I164</f>
        <v>5.5555555555555552E-2</v>
      </c>
    </row>
    <row r="165" spans="2:16" ht="31.5" x14ac:dyDescent="0.25">
      <c r="B165" s="213">
        <v>2</v>
      </c>
      <c r="C165" s="171" t="s">
        <v>335</v>
      </c>
      <c r="D165" s="184" t="s">
        <v>320</v>
      </c>
      <c r="E165" s="171" t="s">
        <v>319</v>
      </c>
      <c r="F165" s="171" t="s">
        <v>453</v>
      </c>
      <c r="G165" s="171" t="s">
        <v>344</v>
      </c>
      <c r="H165" s="171" t="s">
        <v>333</v>
      </c>
      <c r="I165" s="214">
        <f>SUM(I166:I196)</f>
        <v>1.0000000000000002</v>
      </c>
      <c r="J165" s="171" t="s">
        <v>299</v>
      </c>
      <c r="K165" s="171" t="s">
        <v>434</v>
      </c>
      <c r="L165" s="214">
        <f>AVERAGE(L166:L196)</f>
        <v>0</v>
      </c>
      <c r="M165" s="214">
        <f>SUM(M166:M196)</f>
        <v>0</v>
      </c>
      <c r="N165" s="171" t="s">
        <v>340</v>
      </c>
      <c r="O165" s="171" t="s">
        <v>341</v>
      </c>
      <c r="P165" s="214">
        <f ca="1">SUM(P166:P196)</f>
        <v>1.0000000000000002</v>
      </c>
    </row>
    <row r="166" spans="2:16" outlineLevel="1" x14ac:dyDescent="0.25">
      <c r="B166" s="103" t="s">
        <v>422</v>
      </c>
      <c r="C166" s="111" t="s">
        <v>461</v>
      </c>
      <c r="D166" s="111">
        <v>2</v>
      </c>
      <c r="E166" s="111">
        <v>1</v>
      </c>
      <c r="F166" s="135">
        <f t="shared" si="17"/>
        <v>1</v>
      </c>
      <c r="G166" s="108" t="s">
        <v>454</v>
      </c>
      <c r="H166" s="170">
        <v>1</v>
      </c>
      <c r="I166" s="101">
        <f t="shared" ref="I166:I196" si="36">IF(H166=1,1/SUM(H$166:H$196),0)</f>
        <v>0.04</v>
      </c>
      <c r="J166" s="110">
        <v>15</v>
      </c>
      <c r="K166" s="137">
        <f t="shared" ref="K166:K196" si="37">$G$7-J166</f>
        <v>44006</v>
      </c>
      <c r="L166" s="99">
        <v>0</v>
      </c>
      <c r="M166" s="231">
        <f t="shared" si="31"/>
        <v>0</v>
      </c>
      <c r="N166" s="102"/>
      <c r="O166" s="172"/>
      <c r="P166" s="101">
        <f t="shared" ref="P166:P196" ca="1" si="38">(IF(K166&lt;=TODAY(),1,0))*I166</f>
        <v>0.04</v>
      </c>
    </row>
    <row r="167" spans="2:16" outlineLevel="1" x14ac:dyDescent="0.25">
      <c r="B167" s="149" t="s">
        <v>711</v>
      </c>
      <c r="C167" s="164" t="s">
        <v>461</v>
      </c>
      <c r="D167" s="164">
        <v>4</v>
      </c>
      <c r="E167" s="164">
        <v>2</v>
      </c>
      <c r="F167" s="151">
        <f t="shared" si="17"/>
        <v>2</v>
      </c>
      <c r="G167" s="112" t="s">
        <v>712</v>
      </c>
      <c r="H167" s="170">
        <v>1</v>
      </c>
      <c r="I167" s="157">
        <f t="shared" si="36"/>
        <v>0.04</v>
      </c>
      <c r="J167" s="110">
        <v>15</v>
      </c>
      <c r="K167" s="155">
        <f t="shared" si="37"/>
        <v>44006</v>
      </c>
      <c r="L167" s="99">
        <v>0</v>
      </c>
      <c r="M167" s="233">
        <f t="shared" si="31"/>
        <v>0</v>
      </c>
      <c r="N167" s="154"/>
      <c r="O167" s="173"/>
      <c r="P167" s="157">
        <f t="shared" ca="1" si="38"/>
        <v>0.04</v>
      </c>
    </row>
    <row r="168" spans="2:16" outlineLevel="1" x14ac:dyDescent="0.25">
      <c r="B168" s="103" t="s">
        <v>713</v>
      </c>
      <c r="C168" s="107" t="s">
        <v>461</v>
      </c>
      <c r="D168" s="107">
        <v>3</v>
      </c>
      <c r="E168" s="107">
        <v>2</v>
      </c>
      <c r="F168" s="135">
        <f t="shared" si="17"/>
        <v>1</v>
      </c>
      <c r="G168" s="108" t="s">
        <v>714</v>
      </c>
      <c r="H168" s="170">
        <v>1</v>
      </c>
      <c r="I168" s="101">
        <f t="shared" si="36"/>
        <v>0.04</v>
      </c>
      <c r="J168" s="110">
        <v>15</v>
      </c>
      <c r="K168" s="137">
        <f t="shared" si="37"/>
        <v>44006</v>
      </c>
      <c r="L168" s="99">
        <v>0</v>
      </c>
      <c r="M168" s="231">
        <f t="shared" si="31"/>
        <v>0</v>
      </c>
      <c r="N168" s="102"/>
      <c r="O168" s="172"/>
      <c r="P168" s="101">
        <f t="shared" ca="1" si="38"/>
        <v>0.04</v>
      </c>
    </row>
    <row r="169" spans="2:16" outlineLevel="1" x14ac:dyDescent="0.25">
      <c r="B169" s="149" t="s">
        <v>715</v>
      </c>
      <c r="C169" s="164" t="s">
        <v>461</v>
      </c>
      <c r="D169" s="164">
        <v>4</v>
      </c>
      <c r="E169" s="164">
        <v>2</v>
      </c>
      <c r="F169" s="151">
        <f t="shared" ref="F169:F232" si="39">D169-E169</f>
        <v>2</v>
      </c>
      <c r="G169" s="112" t="s">
        <v>716</v>
      </c>
      <c r="H169" s="170">
        <v>1</v>
      </c>
      <c r="I169" s="157">
        <f t="shared" si="36"/>
        <v>0.04</v>
      </c>
      <c r="J169" s="110">
        <v>15</v>
      </c>
      <c r="K169" s="155">
        <f t="shared" si="37"/>
        <v>44006</v>
      </c>
      <c r="L169" s="99">
        <v>0</v>
      </c>
      <c r="M169" s="233">
        <f t="shared" si="31"/>
        <v>0</v>
      </c>
      <c r="N169" s="154"/>
      <c r="O169" s="173"/>
      <c r="P169" s="157">
        <f t="shared" ca="1" si="38"/>
        <v>0.04</v>
      </c>
    </row>
    <row r="170" spans="2:16" outlineLevel="1" x14ac:dyDescent="0.25">
      <c r="B170" s="103" t="s">
        <v>717</v>
      </c>
      <c r="C170" s="107" t="s">
        <v>461</v>
      </c>
      <c r="D170" s="107">
        <v>4</v>
      </c>
      <c r="E170" s="107">
        <v>2</v>
      </c>
      <c r="F170" s="135">
        <f t="shared" si="39"/>
        <v>2</v>
      </c>
      <c r="G170" s="108" t="s">
        <v>718</v>
      </c>
      <c r="H170" s="170">
        <v>1</v>
      </c>
      <c r="I170" s="101">
        <f t="shared" si="36"/>
        <v>0.04</v>
      </c>
      <c r="J170" s="110">
        <v>15</v>
      </c>
      <c r="K170" s="137">
        <f t="shared" si="37"/>
        <v>44006</v>
      </c>
      <c r="L170" s="99">
        <v>0</v>
      </c>
      <c r="M170" s="231">
        <f t="shared" si="31"/>
        <v>0</v>
      </c>
      <c r="N170" s="102"/>
      <c r="O170" s="172"/>
      <c r="P170" s="101">
        <f t="shared" ca="1" si="38"/>
        <v>0.04</v>
      </c>
    </row>
    <row r="171" spans="2:16" outlineLevel="1" x14ac:dyDescent="0.25">
      <c r="B171" s="149" t="s">
        <v>719</v>
      </c>
      <c r="C171" s="164" t="s">
        <v>461</v>
      </c>
      <c r="D171" s="164">
        <v>8</v>
      </c>
      <c r="E171" s="164">
        <v>6</v>
      </c>
      <c r="F171" s="151">
        <f t="shared" si="39"/>
        <v>2</v>
      </c>
      <c r="G171" s="112" t="s">
        <v>720</v>
      </c>
      <c r="H171" s="170">
        <v>1</v>
      </c>
      <c r="I171" s="157">
        <f t="shared" si="36"/>
        <v>0.04</v>
      </c>
      <c r="J171" s="110">
        <v>15</v>
      </c>
      <c r="K171" s="155">
        <f t="shared" si="37"/>
        <v>44006</v>
      </c>
      <c r="L171" s="99">
        <v>0</v>
      </c>
      <c r="M171" s="233">
        <f t="shared" si="31"/>
        <v>0</v>
      </c>
      <c r="N171" s="154"/>
      <c r="O171" s="173"/>
      <c r="P171" s="157">
        <f t="shared" ca="1" si="38"/>
        <v>0.04</v>
      </c>
    </row>
    <row r="172" spans="2:16" outlineLevel="1" x14ac:dyDescent="0.25">
      <c r="B172" s="103" t="s">
        <v>721</v>
      </c>
      <c r="C172" s="107" t="s">
        <v>461</v>
      </c>
      <c r="D172" s="107">
        <v>10</v>
      </c>
      <c r="E172" s="107">
        <v>4</v>
      </c>
      <c r="F172" s="135">
        <f t="shared" si="39"/>
        <v>6</v>
      </c>
      <c r="G172" s="108" t="s">
        <v>722</v>
      </c>
      <c r="H172" s="170">
        <v>1</v>
      </c>
      <c r="I172" s="101">
        <f t="shared" si="36"/>
        <v>0.04</v>
      </c>
      <c r="J172" s="110">
        <v>15</v>
      </c>
      <c r="K172" s="137">
        <f t="shared" si="37"/>
        <v>44006</v>
      </c>
      <c r="L172" s="99">
        <v>0</v>
      </c>
      <c r="M172" s="231">
        <f t="shared" si="31"/>
        <v>0</v>
      </c>
      <c r="N172" s="102"/>
      <c r="O172" s="172"/>
      <c r="P172" s="101">
        <f t="shared" ca="1" si="38"/>
        <v>0.04</v>
      </c>
    </row>
    <row r="173" spans="2:16" outlineLevel="1" x14ac:dyDescent="0.25">
      <c r="B173" s="149" t="s">
        <v>723</v>
      </c>
      <c r="C173" s="164" t="s">
        <v>461</v>
      </c>
      <c r="D173" s="164">
        <v>10</v>
      </c>
      <c r="E173" s="164">
        <v>4</v>
      </c>
      <c r="F173" s="151">
        <f t="shared" si="39"/>
        <v>6</v>
      </c>
      <c r="G173" s="112" t="s">
        <v>724</v>
      </c>
      <c r="H173" s="170">
        <v>1</v>
      </c>
      <c r="I173" s="157">
        <f t="shared" si="36"/>
        <v>0.04</v>
      </c>
      <c r="J173" s="110">
        <v>15</v>
      </c>
      <c r="K173" s="155">
        <f t="shared" si="37"/>
        <v>44006</v>
      </c>
      <c r="L173" s="99">
        <v>0</v>
      </c>
      <c r="M173" s="233">
        <f t="shared" si="31"/>
        <v>0</v>
      </c>
      <c r="N173" s="154"/>
      <c r="O173" s="173"/>
      <c r="P173" s="157">
        <f t="shared" ca="1" si="38"/>
        <v>0.04</v>
      </c>
    </row>
    <row r="174" spans="2:16" outlineLevel="1" x14ac:dyDescent="0.25">
      <c r="B174" s="103" t="s">
        <v>725</v>
      </c>
      <c r="C174" s="107" t="s">
        <v>461</v>
      </c>
      <c r="D174" s="107">
        <v>3</v>
      </c>
      <c r="E174" s="107">
        <v>2</v>
      </c>
      <c r="F174" s="135">
        <f t="shared" si="39"/>
        <v>1</v>
      </c>
      <c r="G174" s="108" t="s">
        <v>726</v>
      </c>
      <c r="H174" s="170">
        <v>1</v>
      </c>
      <c r="I174" s="101">
        <f t="shared" si="36"/>
        <v>0.04</v>
      </c>
      <c r="J174" s="110">
        <v>15</v>
      </c>
      <c r="K174" s="137">
        <f t="shared" si="37"/>
        <v>44006</v>
      </c>
      <c r="L174" s="99">
        <v>0</v>
      </c>
      <c r="M174" s="231">
        <f t="shared" si="31"/>
        <v>0</v>
      </c>
      <c r="N174" s="102"/>
      <c r="O174" s="172"/>
      <c r="P174" s="101">
        <f t="shared" ca="1" si="38"/>
        <v>0.04</v>
      </c>
    </row>
    <row r="175" spans="2:16" outlineLevel="1" x14ac:dyDescent="0.25">
      <c r="B175" s="149" t="s">
        <v>727</v>
      </c>
      <c r="C175" s="164" t="s">
        <v>461</v>
      </c>
      <c r="D175" s="164">
        <v>3</v>
      </c>
      <c r="E175" s="164">
        <v>2</v>
      </c>
      <c r="F175" s="151">
        <f t="shared" si="39"/>
        <v>1</v>
      </c>
      <c r="G175" s="112" t="s">
        <v>728</v>
      </c>
      <c r="H175" s="170">
        <v>1</v>
      </c>
      <c r="I175" s="157">
        <f t="shared" si="36"/>
        <v>0.04</v>
      </c>
      <c r="J175" s="110">
        <v>15</v>
      </c>
      <c r="K175" s="155">
        <f t="shared" si="37"/>
        <v>44006</v>
      </c>
      <c r="L175" s="99">
        <v>0</v>
      </c>
      <c r="M175" s="233">
        <f t="shared" si="31"/>
        <v>0</v>
      </c>
      <c r="N175" s="154"/>
      <c r="O175" s="173"/>
      <c r="P175" s="157">
        <f t="shared" ca="1" si="38"/>
        <v>0.04</v>
      </c>
    </row>
    <row r="176" spans="2:16" outlineLevel="1" x14ac:dyDescent="0.25">
      <c r="B176" s="103" t="s">
        <v>729</v>
      </c>
      <c r="C176" s="107" t="s">
        <v>461</v>
      </c>
      <c r="D176" s="107">
        <v>4</v>
      </c>
      <c r="E176" s="107">
        <v>4</v>
      </c>
      <c r="F176" s="135">
        <f t="shared" si="39"/>
        <v>0</v>
      </c>
      <c r="G176" s="108" t="s">
        <v>730</v>
      </c>
      <c r="H176" s="170">
        <v>0</v>
      </c>
      <c r="I176" s="101">
        <f t="shared" si="36"/>
        <v>0</v>
      </c>
      <c r="J176" s="110">
        <v>30</v>
      </c>
      <c r="K176" s="137">
        <f t="shared" si="37"/>
        <v>43991</v>
      </c>
      <c r="L176" s="99">
        <v>0</v>
      </c>
      <c r="M176" s="231">
        <f t="shared" si="31"/>
        <v>0</v>
      </c>
      <c r="N176" s="102"/>
      <c r="O176" s="172"/>
      <c r="P176" s="101">
        <f t="shared" ca="1" si="38"/>
        <v>0</v>
      </c>
    </row>
    <row r="177" spans="2:16" outlineLevel="1" x14ac:dyDescent="0.25">
      <c r="B177" s="149" t="s">
        <v>444</v>
      </c>
      <c r="C177" s="164" t="s">
        <v>461</v>
      </c>
      <c r="D177" s="164">
        <v>6</v>
      </c>
      <c r="E177" s="164">
        <v>4</v>
      </c>
      <c r="F177" s="151">
        <f t="shared" si="39"/>
        <v>2</v>
      </c>
      <c r="G177" s="112" t="s">
        <v>455</v>
      </c>
      <c r="H177" s="170">
        <v>1</v>
      </c>
      <c r="I177" s="157">
        <f t="shared" si="36"/>
        <v>0.04</v>
      </c>
      <c r="J177" s="110">
        <v>15</v>
      </c>
      <c r="K177" s="155">
        <f t="shared" si="37"/>
        <v>44006</v>
      </c>
      <c r="L177" s="99">
        <v>0</v>
      </c>
      <c r="M177" s="233">
        <f t="shared" si="31"/>
        <v>0</v>
      </c>
      <c r="N177" s="154"/>
      <c r="O177" s="173"/>
      <c r="P177" s="157">
        <f t="shared" ca="1" si="38"/>
        <v>0.04</v>
      </c>
    </row>
    <row r="178" spans="2:16" outlineLevel="1" x14ac:dyDescent="0.25">
      <c r="B178" s="103" t="s">
        <v>445</v>
      </c>
      <c r="C178" s="107" t="s">
        <v>461</v>
      </c>
      <c r="D178" s="107">
        <v>0</v>
      </c>
      <c r="E178" s="107">
        <v>4</v>
      </c>
      <c r="F178" s="135">
        <f t="shared" si="39"/>
        <v>-4</v>
      </c>
      <c r="G178" s="108" t="s">
        <v>456</v>
      </c>
      <c r="H178" s="170">
        <v>0</v>
      </c>
      <c r="I178" s="101">
        <f t="shared" si="36"/>
        <v>0</v>
      </c>
      <c r="J178" s="110">
        <v>30</v>
      </c>
      <c r="K178" s="137">
        <f t="shared" si="37"/>
        <v>43991</v>
      </c>
      <c r="L178" s="99">
        <v>0</v>
      </c>
      <c r="M178" s="231">
        <f t="shared" si="31"/>
        <v>0</v>
      </c>
      <c r="N178" s="102"/>
      <c r="O178" s="172"/>
      <c r="P178" s="101">
        <f t="shared" ca="1" si="38"/>
        <v>0</v>
      </c>
    </row>
    <row r="179" spans="2:16" outlineLevel="1" x14ac:dyDescent="0.25">
      <c r="B179" s="149" t="s">
        <v>446</v>
      </c>
      <c r="C179" s="164" t="s">
        <v>461</v>
      </c>
      <c r="D179" s="164">
        <v>0</v>
      </c>
      <c r="E179" s="164">
        <v>4</v>
      </c>
      <c r="F179" s="151">
        <f t="shared" si="39"/>
        <v>-4</v>
      </c>
      <c r="G179" s="112" t="s">
        <v>457</v>
      </c>
      <c r="H179" s="170">
        <v>0</v>
      </c>
      <c r="I179" s="157">
        <f t="shared" si="36"/>
        <v>0</v>
      </c>
      <c r="J179" s="114">
        <v>30</v>
      </c>
      <c r="K179" s="155">
        <f t="shared" si="37"/>
        <v>43991</v>
      </c>
      <c r="L179" s="99">
        <v>0</v>
      </c>
      <c r="M179" s="233">
        <f t="shared" si="31"/>
        <v>0</v>
      </c>
      <c r="N179" s="154"/>
      <c r="O179" s="173"/>
      <c r="P179" s="157">
        <f t="shared" ca="1" si="38"/>
        <v>0</v>
      </c>
    </row>
    <row r="180" spans="2:16" outlineLevel="1" x14ac:dyDescent="0.25">
      <c r="B180" s="103" t="s">
        <v>447</v>
      </c>
      <c r="C180" s="107" t="s">
        <v>461</v>
      </c>
      <c r="D180" s="107">
        <v>4</v>
      </c>
      <c r="E180" s="107">
        <v>4</v>
      </c>
      <c r="F180" s="135">
        <f t="shared" si="39"/>
        <v>0</v>
      </c>
      <c r="G180" s="108" t="s">
        <v>458</v>
      </c>
      <c r="H180" s="170">
        <v>0</v>
      </c>
      <c r="I180" s="101">
        <f t="shared" si="36"/>
        <v>0</v>
      </c>
      <c r="J180" s="110">
        <v>30</v>
      </c>
      <c r="K180" s="137">
        <f t="shared" si="37"/>
        <v>43991</v>
      </c>
      <c r="L180" s="99">
        <v>0</v>
      </c>
      <c r="M180" s="231">
        <f t="shared" si="31"/>
        <v>0</v>
      </c>
      <c r="N180" s="102"/>
      <c r="O180" s="172"/>
      <c r="P180" s="101">
        <f t="shared" ca="1" si="38"/>
        <v>0</v>
      </c>
    </row>
    <row r="181" spans="2:16" outlineLevel="1" x14ac:dyDescent="0.25">
      <c r="B181" s="149" t="s">
        <v>448</v>
      </c>
      <c r="C181" s="164" t="s">
        <v>461</v>
      </c>
      <c r="D181" s="164">
        <v>4</v>
      </c>
      <c r="E181" s="164">
        <v>4</v>
      </c>
      <c r="F181" s="151">
        <f t="shared" si="39"/>
        <v>0</v>
      </c>
      <c r="G181" s="112" t="s">
        <v>459</v>
      </c>
      <c r="H181" s="170">
        <v>0</v>
      </c>
      <c r="I181" s="157">
        <f t="shared" si="36"/>
        <v>0</v>
      </c>
      <c r="J181" s="114">
        <v>30</v>
      </c>
      <c r="K181" s="155">
        <f t="shared" si="37"/>
        <v>43991</v>
      </c>
      <c r="L181" s="99">
        <v>0</v>
      </c>
      <c r="M181" s="233">
        <f t="shared" si="31"/>
        <v>0</v>
      </c>
      <c r="N181" s="154"/>
      <c r="O181" s="173"/>
      <c r="P181" s="157">
        <f t="shared" ca="1" si="38"/>
        <v>0</v>
      </c>
    </row>
    <row r="182" spans="2:16" outlineLevel="1" x14ac:dyDescent="0.25">
      <c r="B182" s="149" t="s">
        <v>731</v>
      </c>
      <c r="C182" s="164" t="s">
        <v>461</v>
      </c>
      <c r="D182" s="164">
        <v>4</v>
      </c>
      <c r="E182" s="164">
        <v>2</v>
      </c>
      <c r="F182" s="151">
        <f t="shared" si="39"/>
        <v>2</v>
      </c>
      <c r="G182" s="112" t="s">
        <v>732</v>
      </c>
      <c r="H182" s="170">
        <v>1</v>
      </c>
      <c r="I182" s="157">
        <f t="shared" si="36"/>
        <v>0.04</v>
      </c>
      <c r="J182" s="110">
        <v>15</v>
      </c>
      <c r="K182" s="155">
        <f t="shared" si="37"/>
        <v>44006</v>
      </c>
      <c r="L182" s="99">
        <v>0</v>
      </c>
      <c r="M182" s="233">
        <f t="shared" si="31"/>
        <v>0</v>
      </c>
      <c r="N182" s="154"/>
      <c r="O182" s="173"/>
      <c r="P182" s="157">
        <f t="shared" ca="1" si="38"/>
        <v>0.04</v>
      </c>
    </row>
    <row r="183" spans="2:16" outlineLevel="1" x14ac:dyDescent="0.25">
      <c r="B183" s="103" t="s">
        <v>733</v>
      </c>
      <c r="C183" s="107" t="s">
        <v>461</v>
      </c>
      <c r="D183" s="107">
        <v>4</v>
      </c>
      <c r="E183" s="107">
        <v>2</v>
      </c>
      <c r="F183" s="135">
        <f t="shared" si="39"/>
        <v>2</v>
      </c>
      <c r="G183" s="108" t="s">
        <v>734</v>
      </c>
      <c r="H183" s="170">
        <v>1</v>
      </c>
      <c r="I183" s="101">
        <f t="shared" si="36"/>
        <v>0.04</v>
      </c>
      <c r="J183" s="110">
        <v>15</v>
      </c>
      <c r="K183" s="137">
        <f t="shared" si="37"/>
        <v>44006</v>
      </c>
      <c r="L183" s="99">
        <v>0</v>
      </c>
      <c r="M183" s="231">
        <f t="shared" si="31"/>
        <v>0</v>
      </c>
      <c r="N183" s="102"/>
      <c r="O183" s="172"/>
      <c r="P183" s="101">
        <f t="shared" ca="1" si="38"/>
        <v>0.04</v>
      </c>
    </row>
    <row r="184" spans="2:16" outlineLevel="1" x14ac:dyDescent="0.25">
      <c r="B184" s="149" t="s">
        <v>735</v>
      </c>
      <c r="C184" s="164" t="s">
        <v>461</v>
      </c>
      <c r="D184" s="164">
        <v>4</v>
      </c>
      <c r="E184" s="164">
        <v>2</v>
      </c>
      <c r="F184" s="151">
        <f t="shared" si="39"/>
        <v>2</v>
      </c>
      <c r="G184" s="112" t="s">
        <v>736</v>
      </c>
      <c r="H184" s="170">
        <v>1</v>
      </c>
      <c r="I184" s="157">
        <f t="shared" si="36"/>
        <v>0.04</v>
      </c>
      <c r="J184" s="110">
        <v>15</v>
      </c>
      <c r="K184" s="155">
        <f t="shared" si="37"/>
        <v>44006</v>
      </c>
      <c r="L184" s="99">
        <v>0</v>
      </c>
      <c r="M184" s="233">
        <f t="shared" si="31"/>
        <v>0</v>
      </c>
      <c r="N184" s="154"/>
      <c r="O184" s="173"/>
      <c r="P184" s="157">
        <f t="shared" ca="1" si="38"/>
        <v>0.04</v>
      </c>
    </row>
    <row r="185" spans="2:16" outlineLevel="1" x14ac:dyDescent="0.25">
      <c r="B185" s="103" t="s">
        <v>737</v>
      </c>
      <c r="C185" s="107" t="s">
        <v>461</v>
      </c>
      <c r="D185" s="107">
        <v>4</v>
      </c>
      <c r="E185" s="107">
        <v>2</v>
      </c>
      <c r="F185" s="135">
        <f t="shared" si="39"/>
        <v>2</v>
      </c>
      <c r="G185" s="108" t="s">
        <v>738</v>
      </c>
      <c r="H185" s="170">
        <v>1</v>
      </c>
      <c r="I185" s="101">
        <f t="shared" si="36"/>
        <v>0.04</v>
      </c>
      <c r="J185" s="110">
        <v>15</v>
      </c>
      <c r="K185" s="137">
        <f t="shared" si="37"/>
        <v>44006</v>
      </c>
      <c r="L185" s="99">
        <v>0</v>
      </c>
      <c r="M185" s="231">
        <f t="shared" si="31"/>
        <v>0</v>
      </c>
      <c r="N185" s="102"/>
      <c r="O185" s="172"/>
      <c r="P185" s="101">
        <f t="shared" ca="1" si="38"/>
        <v>0.04</v>
      </c>
    </row>
    <row r="186" spans="2:16" outlineLevel="1" x14ac:dyDescent="0.25">
      <c r="B186" s="149" t="s">
        <v>739</v>
      </c>
      <c r="C186" s="164" t="s">
        <v>461</v>
      </c>
      <c r="D186" s="164">
        <v>4</v>
      </c>
      <c r="E186" s="164">
        <v>2</v>
      </c>
      <c r="F186" s="151">
        <f t="shared" si="39"/>
        <v>2</v>
      </c>
      <c r="G186" s="112" t="s">
        <v>740</v>
      </c>
      <c r="H186" s="170">
        <v>1</v>
      </c>
      <c r="I186" s="157">
        <f t="shared" si="36"/>
        <v>0.04</v>
      </c>
      <c r="J186" s="110">
        <v>15</v>
      </c>
      <c r="K186" s="155">
        <f t="shared" si="37"/>
        <v>44006</v>
      </c>
      <c r="L186" s="99">
        <v>0</v>
      </c>
      <c r="M186" s="233">
        <f t="shared" si="31"/>
        <v>0</v>
      </c>
      <c r="N186" s="154"/>
      <c r="O186" s="173"/>
      <c r="P186" s="157">
        <f t="shared" ca="1" si="38"/>
        <v>0.04</v>
      </c>
    </row>
    <row r="187" spans="2:16" outlineLevel="1" x14ac:dyDescent="0.25">
      <c r="B187" s="103" t="s">
        <v>741</v>
      </c>
      <c r="C187" s="107" t="s">
        <v>461</v>
      </c>
      <c r="D187" s="107">
        <v>4</v>
      </c>
      <c r="E187" s="107">
        <v>2</v>
      </c>
      <c r="F187" s="135">
        <f t="shared" si="39"/>
        <v>2</v>
      </c>
      <c r="G187" s="108" t="s">
        <v>742</v>
      </c>
      <c r="H187" s="170">
        <v>1</v>
      </c>
      <c r="I187" s="101">
        <f t="shared" si="36"/>
        <v>0.04</v>
      </c>
      <c r="J187" s="110">
        <v>15</v>
      </c>
      <c r="K187" s="137">
        <f t="shared" si="37"/>
        <v>44006</v>
      </c>
      <c r="L187" s="99">
        <v>0</v>
      </c>
      <c r="M187" s="231">
        <f t="shared" si="31"/>
        <v>0</v>
      </c>
      <c r="N187" s="102"/>
      <c r="O187" s="172"/>
      <c r="P187" s="101">
        <f t="shared" ca="1" si="38"/>
        <v>0.04</v>
      </c>
    </row>
    <row r="188" spans="2:16" outlineLevel="1" x14ac:dyDescent="0.25">
      <c r="B188" s="149" t="s">
        <v>743</v>
      </c>
      <c r="C188" s="164" t="s">
        <v>461</v>
      </c>
      <c r="D188" s="164">
        <v>4</v>
      </c>
      <c r="E188" s="164">
        <v>2</v>
      </c>
      <c r="F188" s="151">
        <f t="shared" si="39"/>
        <v>2</v>
      </c>
      <c r="G188" s="112" t="s">
        <v>744</v>
      </c>
      <c r="H188" s="170">
        <v>1</v>
      </c>
      <c r="I188" s="157">
        <f t="shared" si="36"/>
        <v>0.04</v>
      </c>
      <c r="J188" s="110">
        <v>15</v>
      </c>
      <c r="K188" s="155">
        <f t="shared" si="37"/>
        <v>44006</v>
      </c>
      <c r="L188" s="99">
        <v>0</v>
      </c>
      <c r="M188" s="233">
        <f t="shared" si="31"/>
        <v>0</v>
      </c>
      <c r="N188" s="154"/>
      <c r="O188" s="173"/>
      <c r="P188" s="157">
        <f t="shared" ca="1" si="38"/>
        <v>0.04</v>
      </c>
    </row>
    <row r="189" spans="2:16" outlineLevel="1" x14ac:dyDescent="0.25">
      <c r="B189" s="103" t="s">
        <v>449</v>
      </c>
      <c r="C189" s="107" t="s">
        <v>461</v>
      </c>
      <c r="D189" s="107">
        <v>4</v>
      </c>
      <c r="E189" s="107">
        <v>1</v>
      </c>
      <c r="F189" s="135">
        <f t="shared" si="39"/>
        <v>3</v>
      </c>
      <c r="G189" s="108" t="s">
        <v>460</v>
      </c>
      <c r="H189" s="170">
        <v>1</v>
      </c>
      <c r="I189" s="101">
        <f t="shared" si="36"/>
        <v>0.04</v>
      </c>
      <c r="J189" s="110">
        <v>15</v>
      </c>
      <c r="K189" s="137">
        <f t="shared" si="37"/>
        <v>44006</v>
      </c>
      <c r="L189" s="99">
        <v>0</v>
      </c>
      <c r="M189" s="231">
        <f t="shared" si="31"/>
        <v>0</v>
      </c>
      <c r="N189" s="102"/>
      <c r="O189" s="172"/>
      <c r="P189" s="101">
        <f t="shared" ca="1" si="38"/>
        <v>0.04</v>
      </c>
    </row>
    <row r="190" spans="2:16" outlineLevel="1" x14ac:dyDescent="0.25">
      <c r="B190" s="149" t="s">
        <v>745</v>
      </c>
      <c r="C190" s="164" t="s">
        <v>461</v>
      </c>
      <c r="D190" s="164">
        <v>3</v>
      </c>
      <c r="E190" s="164">
        <v>1</v>
      </c>
      <c r="F190" s="151">
        <f t="shared" si="39"/>
        <v>2</v>
      </c>
      <c r="G190" s="112" t="s">
        <v>746</v>
      </c>
      <c r="H190" s="170">
        <v>1</v>
      </c>
      <c r="I190" s="157">
        <f t="shared" si="36"/>
        <v>0.04</v>
      </c>
      <c r="J190" s="110">
        <v>15</v>
      </c>
      <c r="K190" s="155">
        <f t="shared" si="37"/>
        <v>44006</v>
      </c>
      <c r="L190" s="99">
        <v>0</v>
      </c>
      <c r="M190" s="233">
        <f t="shared" si="31"/>
        <v>0</v>
      </c>
      <c r="N190" s="154"/>
      <c r="O190" s="173"/>
      <c r="P190" s="157">
        <f t="shared" ca="1" si="38"/>
        <v>0.04</v>
      </c>
    </row>
    <row r="191" spans="2:16" outlineLevel="1" x14ac:dyDescent="0.25">
      <c r="B191" s="103" t="s">
        <v>747</v>
      </c>
      <c r="C191" s="107" t="s">
        <v>461</v>
      </c>
      <c r="D191" s="107">
        <v>2</v>
      </c>
      <c r="E191" s="107">
        <v>1</v>
      </c>
      <c r="F191" s="135">
        <f t="shared" si="39"/>
        <v>1</v>
      </c>
      <c r="G191" s="108" t="s">
        <v>748</v>
      </c>
      <c r="H191" s="170">
        <v>1</v>
      </c>
      <c r="I191" s="101">
        <f t="shared" si="36"/>
        <v>0.04</v>
      </c>
      <c r="J191" s="110">
        <v>15</v>
      </c>
      <c r="K191" s="137">
        <f t="shared" si="37"/>
        <v>44006</v>
      </c>
      <c r="L191" s="99">
        <v>0</v>
      </c>
      <c r="M191" s="231">
        <f t="shared" si="31"/>
        <v>0</v>
      </c>
      <c r="N191" s="102"/>
      <c r="O191" s="172"/>
      <c r="P191" s="101">
        <f t="shared" ca="1" si="38"/>
        <v>0.04</v>
      </c>
    </row>
    <row r="192" spans="2:16" outlineLevel="1" x14ac:dyDescent="0.25">
      <c r="B192" s="149" t="s">
        <v>749</v>
      </c>
      <c r="C192" s="164" t="s">
        <v>461</v>
      </c>
      <c r="D192" s="164">
        <v>3</v>
      </c>
      <c r="E192" s="164">
        <v>2</v>
      </c>
      <c r="F192" s="151">
        <f t="shared" si="39"/>
        <v>1</v>
      </c>
      <c r="G192" s="112" t="s">
        <v>750</v>
      </c>
      <c r="H192" s="170">
        <v>1</v>
      </c>
      <c r="I192" s="157">
        <f t="shared" si="36"/>
        <v>0.04</v>
      </c>
      <c r="J192" s="110">
        <v>15</v>
      </c>
      <c r="K192" s="155">
        <f t="shared" si="37"/>
        <v>44006</v>
      </c>
      <c r="L192" s="99">
        <v>0</v>
      </c>
      <c r="M192" s="233">
        <f t="shared" si="31"/>
        <v>0</v>
      </c>
      <c r="N192" s="154"/>
      <c r="O192" s="173"/>
      <c r="P192" s="157">
        <f t="shared" ca="1" si="38"/>
        <v>0.04</v>
      </c>
    </row>
    <row r="193" spans="2:16" outlineLevel="1" x14ac:dyDescent="0.25">
      <c r="B193" s="103" t="s">
        <v>751</v>
      </c>
      <c r="C193" s="107" t="s">
        <v>461</v>
      </c>
      <c r="D193" s="107">
        <v>4</v>
      </c>
      <c r="E193" s="107">
        <v>2</v>
      </c>
      <c r="F193" s="135">
        <f t="shared" si="39"/>
        <v>2</v>
      </c>
      <c r="G193" s="108" t="s">
        <v>752</v>
      </c>
      <c r="H193" s="170">
        <v>1</v>
      </c>
      <c r="I193" s="101">
        <f t="shared" si="36"/>
        <v>0.04</v>
      </c>
      <c r="J193" s="110">
        <v>15</v>
      </c>
      <c r="K193" s="137">
        <f t="shared" si="37"/>
        <v>44006</v>
      </c>
      <c r="L193" s="99">
        <v>0</v>
      </c>
      <c r="M193" s="231">
        <f t="shared" si="31"/>
        <v>0</v>
      </c>
      <c r="N193" s="102"/>
      <c r="O193" s="172"/>
      <c r="P193" s="101">
        <f t="shared" ca="1" si="38"/>
        <v>0.04</v>
      </c>
    </row>
    <row r="194" spans="2:16" outlineLevel="1" x14ac:dyDescent="0.25">
      <c r="B194" s="149" t="s">
        <v>753</v>
      </c>
      <c r="C194" s="164" t="s">
        <v>461</v>
      </c>
      <c r="D194" s="164">
        <v>4</v>
      </c>
      <c r="E194" s="164">
        <v>2</v>
      </c>
      <c r="F194" s="151">
        <f t="shared" si="39"/>
        <v>2</v>
      </c>
      <c r="G194" s="112" t="s">
        <v>754</v>
      </c>
      <c r="H194" s="170">
        <v>1</v>
      </c>
      <c r="I194" s="157">
        <f t="shared" si="36"/>
        <v>0.04</v>
      </c>
      <c r="J194" s="110">
        <v>15</v>
      </c>
      <c r="K194" s="155">
        <f t="shared" si="37"/>
        <v>44006</v>
      </c>
      <c r="L194" s="99">
        <v>0</v>
      </c>
      <c r="M194" s="233">
        <f t="shared" si="31"/>
        <v>0</v>
      </c>
      <c r="N194" s="154"/>
      <c r="O194" s="173"/>
      <c r="P194" s="157">
        <f t="shared" ca="1" si="38"/>
        <v>0.04</v>
      </c>
    </row>
    <row r="195" spans="2:16" outlineLevel="1" x14ac:dyDescent="0.25">
      <c r="B195" s="103" t="s">
        <v>755</v>
      </c>
      <c r="C195" s="107" t="s">
        <v>461</v>
      </c>
      <c r="D195" s="107">
        <v>4</v>
      </c>
      <c r="E195" s="107">
        <v>2</v>
      </c>
      <c r="F195" s="135">
        <f t="shared" si="39"/>
        <v>2</v>
      </c>
      <c r="G195" s="108" t="s">
        <v>756</v>
      </c>
      <c r="H195" s="170">
        <v>1</v>
      </c>
      <c r="I195" s="101">
        <f t="shared" si="36"/>
        <v>0.04</v>
      </c>
      <c r="J195" s="110">
        <v>15</v>
      </c>
      <c r="K195" s="137">
        <f t="shared" si="37"/>
        <v>44006</v>
      </c>
      <c r="L195" s="99">
        <v>0</v>
      </c>
      <c r="M195" s="231">
        <f t="shared" si="31"/>
        <v>0</v>
      </c>
      <c r="N195" s="102"/>
      <c r="O195" s="172"/>
      <c r="P195" s="101">
        <f t="shared" ca="1" si="38"/>
        <v>0.04</v>
      </c>
    </row>
    <row r="196" spans="2:16" outlineLevel="1" x14ac:dyDescent="0.25">
      <c r="B196" s="149" t="s">
        <v>757</v>
      </c>
      <c r="C196" s="239" t="s">
        <v>461</v>
      </c>
      <c r="D196" s="239">
        <v>1</v>
      </c>
      <c r="E196" s="239">
        <v>1</v>
      </c>
      <c r="F196" s="212">
        <f t="shared" si="39"/>
        <v>0</v>
      </c>
      <c r="G196" s="112" t="s">
        <v>758</v>
      </c>
      <c r="H196" s="170">
        <v>0</v>
      </c>
      <c r="I196" s="157">
        <f t="shared" si="36"/>
        <v>0</v>
      </c>
      <c r="J196" s="114">
        <v>30</v>
      </c>
      <c r="K196" s="155">
        <f t="shared" si="37"/>
        <v>43991</v>
      </c>
      <c r="L196" s="99">
        <v>0</v>
      </c>
      <c r="M196" s="233">
        <f t="shared" si="31"/>
        <v>0</v>
      </c>
      <c r="N196" s="154"/>
      <c r="O196" s="173"/>
      <c r="P196" s="157">
        <f t="shared" ca="1" si="38"/>
        <v>0</v>
      </c>
    </row>
    <row r="197" spans="2:16" ht="31.5" x14ac:dyDescent="0.25">
      <c r="B197" s="213">
        <v>3</v>
      </c>
      <c r="C197" s="171" t="s">
        <v>343</v>
      </c>
      <c r="D197" s="184" t="s">
        <v>320</v>
      </c>
      <c r="E197" s="171" t="s">
        <v>319</v>
      </c>
      <c r="F197" s="171" t="s">
        <v>342</v>
      </c>
      <c r="G197" s="171" t="s">
        <v>347</v>
      </c>
      <c r="H197" s="171" t="s">
        <v>333</v>
      </c>
      <c r="I197" s="214">
        <f>SUM(I198:I216)</f>
        <v>0.99999999999999989</v>
      </c>
      <c r="J197" s="171" t="s">
        <v>299</v>
      </c>
      <c r="K197" s="171" t="s">
        <v>339</v>
      </c>
      <c r="L197" s="214">
        <f>AVERAGE(L198:L216)</f>
        <v>0</v>
      </c>
      <c r="M197" s="214">
        <f>SUM(M198:M215)</f>
        <v>0</v>
      </c>
      <c r="N197" s="171" t="s">
        <v>340</v>
      </c>
      <c r="O197" s="171" t="s">
        <v>341</v>
      </c>
      <c r="P197" s="214">
        <f ca="1">SUM(P198:P216)</f>
        <v>0.99999999999999989</v>
      </c>
    </row>
    <row r="198" spans="2:16" outlineLevel="1" x14ac:dyDescent="0.25">
      <c r="B198" s="116">
        <v>3.01</v>
      </c>
      <c r="C198" s="159" t="s">
        <v>336</v>
      </c>
      <c r="D198" s="159">
        <v>1</v>
      </c>
      <c r="E198" s="159">
        <v>1</v>
      </c>
      <c r="F198" s="135">
        <f t="shared" si="39"/>
        <v>0</v>
      </c>
      <c r="G198" s="174" t="s">
        <v>362</v>
      </c>
      <c r="H198" s="170">
        <v>0</v>
      </c>
      <c r="I198" s="115">
        <f t="shared" ref="I198:I216" si="40">IF(H198=1,1/SUM(H$198:H$216),0)</f>
        <v>0</v>
      </c>
      <c r="J198" s="110">
        <v>15</v>
      </c>
      <c r="K198" s="137">
        <f t="shared" ref="K198:K216" si="41">$G$7-J198</f>
        <v>44006</v>
      </c>
      <c r="L198" s="117">
        <v>0</v>
      </c>
      <c r="M198" s="253">
        <f>I198*L198</f>
        <v>0</v>
      </c>
      <c r="N198" s="175" t="s">
        <v>592</v>
      </c>
      <c r="O198" s="175"/>
      <c r="P198" s="101">
        <f t="shared" ref="P198:P216" ca="1" si="42">(IF(K198&lt;=TODAY(),1,0))*I198</f>
        <v>0</v>
      </c>
    </row>
    <row r="199" spans="2:16" outlineLevel="1" x14ac:dyDescent="0.25">
      <c r="B199" s="166">
        <v>3.02</v>
      </c>
      <c r="C199" s="160" t="s">
        <v>336</v>
      </c>
      <c r="D199" s="160">
        <v>1</v>
      </c>
      <c r="E199" s="160">
        <v>1</v>
      </c>
      <c r="F199" s="151">
        <f t="shared" si="39"/>
        <v>0</v>
      </c>
      <c r="G199" s="176" t="s">
        <v>759</v>
      </c>
      <c r="H199" s="170">
        <v>0</v>
      </c>
      <c r="I199" s="165">
        <f t="shared" si="40"/>
        <v>0</v>
      </c>
      <c r="J199" s="114">
        <v>15</v>
      </c>
      <c r="K199" s="155">
        <f t="shared" si="41"/>
        <v>44006</v>
      </c>
      <c r="L199" s="117">
        <v>0</v>
      </c>
      <c r="M199" s="254">
        <f t="shared" ref="M199:M216" si="43">I199*L199</f>
        <v>0</v>
      </c>
      <c r="N199" s="177" t="s">
        <v>760</v>
      </c>
      <c r="O199" s="177"/>
      <c r="P199" s="157">
        <f t="shared" ca="1" si="42"/>
        <v>0</v>
      </c>
    </row>
    <row r="200" spans="2:16" outlineLevel="1" x14ac:dyDescent="0.25">
      <c r="B200" s="116">
        <v>3.03</v>
      </c>
      <c r="C200" s="105" t="s">
        <v>336</v>
      </c>
      <c r="D200" s="105">
        <v>3</v>
      </c>
      <c r="E200" s="105">
        <v>1</v>
      </c>
      <c r="F200" s="135">
        <f t="shared" si="39"/>
        <v>2</v>
      </c>
      <c r="G200" s="174" t="s">
        <v>761</v>
      </c>
      <c r="H200" s="170">
        <v>0</v>
      </c>
      <c r="I200" s="115">
        <f t="shared" si="40"/>
        <v>0</v>
      </c>
      <c r="J200" s="110">
        <v>15</v>
      </c>
      <c r="K200" s="137">
        <f t="shared" si="41"/>
        <v>44006</v>
      </c>
      <c r="L200" s="117">
        <v>0</v>
      </c>
      <c r="M200" s="253">
        <f t="shared" si="43"/>
        <v>0</v>
      </c>
      <c r="N200" s="175" t="s">
        <v>592</v>
      </c>
      <c r="O200" s="175"/>
      <c r="P200" s="101">
        <f t="shared" ca="1" si="42"/>
        <v>0</v>
      </c>
    </row>
    <row r="201" spans="2:16" outlineLevel="1" x14ac:dyDescent="0.25">
      <c r="B201" s="166">
        <v>3.04</v>
      </c>
      <c r="C201" s="160" t="s">
        <v>336</v>
      </c>
      <c r="D201" s="160">
        <v>0</v>
      </c>
      <c r="E201" s="160">
        <v>1</v>
      </c>
      <c r="F201" s="151">
        <f t="shared" si="39"/>
        <v>-1</v>
      </c>
      <c r="G201" s="176" t="s">
        <v>762</v>
      </c>
      <c r="H201" s="170">
        <v>0</v>
      </c>
      <c r="I201" s="165">
        <f t="shared" si="40"/>
        <v>0</v>
      </c>
      <c r="J201" s="114">
        <v>15</v>
      </c>
      <c r="K201" s="155">
        <f t="shared" si="41"/>
        <v>44006</v>
      </c>
      <c r="L201" s="117">
        <v>0</v>
      </c>
      <c r="M201" s="254">
        <f t="shared" si="43"/>
        <v>0</v>
      </c>
      <c r="N201" s="177" t="s">
        <v>592</v>
      </c>
      <c r="O201" s="177"/>
      <c r="P201" s="157">
        <f t="shared" ca="1" si="42"/>
        <v>0</v>
      </c>
    </row>
    <row r="202" spans="2:16" outlineLevel="1" x14ac:dyDescent="0.25">
      <c r="B202" s="116">
        <v>3.05</v>
      </c>
      <c r="C202" s="105" t="s">
        <v>336</v>
      </c>
      <c r="D202" s="105">
        <v>1</v>
      </c>
      <c r="E202" s="105">
        <v>1</v>
      </c>
      <c r="F202" s="135">
        <f t="shared" si="39"/>
        <v>0</v>
      </c>
      <c r="G202" s="174" t="s">
        <v>763</v>
      </c>
      <c r="H202" s="170">
        <v>0</v>
      </c>
      <c r="I202" s="115">
        <f t="shared" si="40"/>
        <v>0</v>
      </c>
      <c r="J202" s="110">
        <v>15</v>
      </c>
      <c r="K202" s="137">
        <f t="shared" si="41"/>
        <v>44006</v>
      </c>
      <c r="L202" s="117">
        <v>0</v>
      </c>
      <c r="M202" s="253">
        <f t="shared" si="43"/>
        <v>0</v>
      </c>
      <c r="N202" s="175"/>
      <c r="O202" s="175"/>
      <c r="P202" s="101">
        <f t="shared" ca="1" si="42"/>
        <v>0</v>
      </c>
    </row>
    <row r="203" spans="2:16" outlineLevel="1" x14ac:dyDescent="0.25">
      <c r="B203" s="166">
        <v>3.06</v>
      </c>
      <c r="C203" s="160" t="s">
        <v>336</v>
      </c>
      <c r="D203" s="160">
        <v>1</v>
      </c>
      <c r="E203" s="160">
        <v>1</v>
      </c>
      <c r="F203" s="151">
        <f t="shared" si="39"/>
        <v>0</v>
      </c>
      <c r="G203" s="176" t="s">
        <v>764</v>
      </c>
      <c r="H203" s="170">
        <v>0</v>
      </c>
      <c r="I203" s="165">
        <f t="shared" si="40"/>
        <v>0</v>
      </c>
      <c r="J203" s="114">
        <v>15</v>
      </c>
      <c r="K203" s="155">
        <f t="shared" si="41"/>
        <v>44006</v>
      </c>
      <c r="L203" s="117">
        <v>0</v>
      </c>
      <c r="M203" s="254">
        <f t="shared" si="43"/>
        <v>0</v>
      </c>
      <c r="N203" s="177"/>
      <c r="O203" s="177"/>
      <c r="P203" s="157">
        <f t="shared" ca="1" si="42"/>
        <v>0</v>
      </c>
    </row>
    <row r="204" spans="2:16" outlineLevel="1" x14ac:dyDescent="0.25">
      <c r="B204" s="116">
        <v>3.07</v>
      </c>
      <c r="C204" s="105" t="s">
        <v>336</v>
      </c>
      <c r="D204" s="105">
        <v>3</v>
      </c>
      <c r="E204" s="105">
        <v>2</v>
      </c>
      <c r="F204" s="135">
        <f t="shared" si="39"/>
        <v>1</v>
      </c>
      <c r="G204" s="174" t="s">
        <v>363</v>
      </c>
      <c r="H204" s="170">
        <v>1</v>
      </c>
      <c r="I204" s="115">
        <f t="shared" si="40"/>
        <v>0.1</v>
      </c>
      <c r="J204" s="110">
        <v>15</v>
      </c>
      <c r="K204" s="137">
        <f t="shared" si="41"/>
        <v>44006</v>
      </c>
      <c r="L204" s="117">
        <v>0</v>
      </c>
      <c r="M204" s="253">
        <f t="shared" si="43"/>
        <v>0</v>
      </c>
      <c r="N204" s="175" t="s">
        <v>765</v>
      </c>
      <c r="O204" s="175"/>
      <c r="P204" s="101">
        <f t="shared" ca="1" si="42"/>
        <v>0.1</v>
      </c>
    </row>
    <row r="205" spans="2:16" outlineLevel="1" x14ac:dyDescent="0.25">
      <c r="B205" s="166">
        <v>3.08</v>
      </c>
      <c r="C205" s="160" t="s">
        <v>336</v>
      </c>
      <c r="D205" s="160">
        <v>4</v>
      </c>
      <c r="E205" s="160">
        <v>3</v>
      </c>
      <c r="F205" s="151">
        <f t="shared" si="39"/>
        <v>1</v>
      </c>
      <c r="G205" s="176" t="s">
        <v>364</v>
      </c>
      <c r="H205" s="170">
        <v>1</v>
      </c>
      <c r="I205" s="165">
        <f t="shared" si="40"/>
        <v>0.1</v>
      </c>
      <c r="J205" s="114">
        <v>15</v>
      </c>
      <c r="K205" s="155">
        <f t="shared" si="41"/>
        <v>44006</v>
      </c>
      <c r="L205" s="117">
        <v>0</v>
      </c>
      <c r="M205" s="254">
        <f t="shared" si="43"/>
        <v>0</v>
      </c>
      <c r="N205" s="177"/>
      <c r="O205" s="177"/>
      <c r="P205" s="157">
        <f t="shared" ca="1" si="42"/>
        <v>0.1</v>
      </c>
    </row>
    <row r="206" spans="2:16" outlineLevel="1" x14ac:dyDescent="0.25">
      <c r="B206" s="116">
        <v>3.09</v>
      </c>
      <c r="C206" s="105" t="s">
        <v>336</v>
      </c>
      <c r="D206" s="105">
        <v>4</v>
      </c>
      <c r="E206" s="105">
        <v>3</v>
      </c>
      <c r="F206" s="135">
        <f t="shared" si="39"/>
        <v>1</v>
      </c>
      <c r="G206" s="174" t="s">
        <v>365</v>
      </c>
      <c r="H206" s="170">
        <v>1</v>
      </c>
      <c r="I206" s="115">
        <f t="shared" si="40"/>
        <v>0.1</v>
      </c>
      <c r="J206" s="110">
        <v>15</v>
      </c>
      <c r="K206" s="137">
        <f t="shared" si="41"/>
        <v>44006</v>
      </c>
      <c r="L206" s="117">
        <v>0</v>
      </c>
      <c r="M206" s="253">
        <f t="shared" si="43"/>
        <v>0</v>
      </c>
      <c r="N206" s="175"/>
      <c r="O206" s="175"/>
      <c r="P206" s="101">
        <f t="shared" ca="1" si="42"/>
        <v>0.1</v>
      </c>
    </row>
    <row r="207" spans="2:16" outlineLevel="1" x14ac:dyDescent="0.25">
      <c r="B207" s="166">
        <v>3.1</v>
      </c>
      <c r="C207" s="160" t="s">
        <v>336</v>
      </c>
      <c r="D207" s="160">
        <v>6</v>
      </c>
      <c r="E207" s="160">
        <v>6</v>
      </c>
      <c r="F207" s="151">
        <f t="shared" si="39"/>
        <v>0</v>
      </c>
      <c r="G207" s="176" t="s">
        <v>366</v>
      </c>
      <c r="H207" s="170">
        <v>1</v>
      </c>
      <c r="I207" s="165">
        <f t="shared" si="40"/>
        <v>0.1</v>
      </c>
      <c r="J207" s="114">
        <v>15</v>
      </c>
      <c r="K207" s="155">
        <f t="shared" si="41"/>
        <v>44006</v>
      </c>
      <c r="L207" s="117">
        <v>0</v>
      </c>
      <c r="M207" s="254">
        <f t="shared" si="43"/>
        <v>0</v>
      </c>
      <c r="N207" s="177"/>
      <c r="O207" s="177"/>
      <c r="P207" s="157">
        <f t="shared" ca="1" si="42"/>
        <v>0.1</v>
      </c>
    </row>
    <row r="208" spans="2:16" outlineLevel="1" x14ac:dyDescent="0.25">
      <c r="B208" s="116">
        <v>3.11</v>
      </c>
      <c r="C208" s="105" t="s">
        <v>336</v>
      </c>
      <c r="D208" s="105"/>
      <c r="E208" s="105">
        <v>4</v>
      </c>
      <c r="F208" s="135">
        <f t="shared" si="39"/>
        <v>-4</v>
      </c>
      <c r="G208" s="174" t="s">
        <v>367</v>
      </c>
      <c r="H208" s="170">
        <v>0</v>
      </c>
      <c r="I208" s="115">
        <f t="shared" si="40"/>
        <v>0</v>
      </c>
      <c r="J208" s="110">
        <v>15</v>
      </c>
      <c r="K208" s="137">
        <f t="shared" si="41"/>
        <v>44006</v>
      </c>
      <c r="L208" s="117">
        <v>0</v>
      </c>
      <c r="M208" s="253">
        <f t="shared" si="43"/>
        <v>0</v>
      </c>
      <c r="N208" s="175" t="s">
        <v>760</v>
      </c>
      <c r="O208" s="175"/>
      <c r="P208" s="101">
        <f t="shared" ca="1" si="42"/>
        <v>0</v>
      </c>
    </row>
    <row r="209" spans="2:16" outlineLevel="1" x14ac:dyDescent="0.25">
      <c r="B209" s="166">
        <v>3.12</v>
      </c>
      <c r="C209" s="160" t="s">
        <v>336</v>
      </c>
      <c r="D209" s="160">
        <v>3</v>
      </c>
      <c r="E209" s="160">
        <v>3</v>
      </c>
      <c r="F209" s="151">
        <f t="shared" si="39"/>
        <v>0</v>
      </c>
      <c r="G209" s="176" t="s">
        <v>368</v>
      </c>
      <c r="H209" s="170">
        <v>1</v>
      </c>
      <c r="I209" s="165">
        <f t="shared" si="40"/>
        <v>0.1</v>
      </c>
      <c r="J209" s="114">
        <v>15</v>
      </c>
      <c r="K209" s="155">
        <f t="shared" si="41"/>
        <v>44006</v>
      </c>
      <c r="L209" s="117">
        <v>0</v>
      </c>
      <c r="M209" s="254">
        <f t="shared" si="43"/>
        <v>0</v>
      </c>
      <c r="N209" s="177"/>
      <c r="O209" s="177"/>
      <c r="P209" s="157">
        <f t="shared" ca="1" si="42"/>
        <v>0.1</v>
      </c>
    </row>
    <row r="210" spans="2:16" outlineLevel="1" x14ac:dyDescent="0.25">
      <c r="B210" s="116">
        <v>3.13</v>
      </c>
      <c r="C210" s="105" t="s">
        <v>336</v>
      </c>
      <c r="D210" s="105">
        <v>4</v>
      </c>
      <c r="E210" s="105">
        <v>2</v>
      </c>
      <c r="F210" s="135">
        <f t="shared" si="39"/>
        <v>2</v>
      </c>
      <c r="G210" s="174" t="s">
        <v>766</v>
      </c>
      <c r="H210" s="170">
        <v>1</v>
      </c>
      <c r="I210" s="115">
        <f t="shared" si="40"/>
        <v>0.1</v>
      </c>
      <c r="J210" s="110">
        <v>15</v>
      </c>
      <c r="K210" s="137">
        <f t="shared" si="41"/>
        <v>44006</v>
      </c>
      <c r="L210" s="117">
        <v>0</v>
      </c>
      <c r="M210" s="253">
        <f t="shared" si="43"/>
        <v>0</v>
      </c>
      <c r="N210" s="175"/>
      <c r="O210" s="175"/>
      <c r="P210" s="101">
        <f t="shared" ca="1" si="42"/>
        <v>0.1</v>
      </c>
    </row>
    <row r="211" spans="2:16" outlineLevel="1" x14ac:dyDescent="0.25">
      <c r="B211" s="166">
        <v>3.14</v>
      </c>
      <c r="C211" s="160" t="s">
        <v>336</v>
      </c>
      <c r="D211" s="160">
        <v>3</v>
      </c>
      <c r="E211" s="160">
        <v>2</v>
      </c>
      <c r="F211" s="151">
        <f t="shared" si="39"/>
        <v>1</v>
      </c>
      <c r="G211" s="176" t="s">
        <v>767</v>
      </c>
      <c r="H211" s="170">
        <v>1</v>
      </c>
      <c r="I211" s="165">
        <f t="shared" si="40"/>
        <v>0.1</v>
      </c>
      <c r="J211" s="114">
        <v>15</v>
      </c>
      <c r="K211" s="155">
        <f t="shared" si="41"/>
        <v>44006</v>
      </c>
      <c r="L211" s="117">
        <v>0</v>
      </c>
      <c r="M211" s="254">
        <f t="shared" si="43"/>
        <v>0</v>
      </c>
      <c r="N211" s="177"/>
      <c r="O211" s="177"/>
      <c r="P211" s="157">
        <f t="shared" ca="1" si="42"/>
        <v>0.1</v>
      </c>
    </row>
    <row r="212" spans="2:16" outlineLevel="1" x14ac:dyDescent="0.25">
      <c r="B212" s="116">
        <v>3.15</v>
      </c>
      <c r="C212" s="105" t="s">
        <v>336</v>
      </c>
      <c r="D212" s="105">
        <v>1</v>
      </c>
      <c r="E212" s="105">
        <v>1</v>
      </c>
      <c r="F212" s="135">
        <f t="shared" si="39"/>
        <v>0</v>
      </c>
      <c r="G212" s="174" t="s">
        <v>369</v>
      </c>
      <c r="H212" s="170">
        <v>0</v>
      </c>
      <c r="I212" s="115">
        <f t="shared" si="40"/>
        <v>0</v>
      </c>
      <c r="J212" s="110">
        <v>15</v>
      </c>
      <c r="K212" s="137">
        <f t="shared" si="41"/>
        <v>44006</v>
      </c>
      <c r="L212" s="117">
        <v>0</v>
      </c>
      <c r="M212" s="253">
        <f t="shared" si="43"/>
        <v>0</v>
      </c>
      <c r="N212" s="175"/>
      <c r="O212" s="175"/>
      <c r="P212" s="101">
        <f t="shared" ca="1" si="42"/>
        <v>0</v>
      </c>
    </row>
    <row r="213" spans="2:16" outlineLevel="1" x14ac:dyDescent="0.25">
      <c r="B213" s="166">
        <v>3.16</v>
      </c>
      <c r="C213" s="160" t="s">
        <v>336</v>
      </c>
      <c r="D213" s="160">
        <v>5</v>
      </c>
      <c r="E213" s="160">
        <v>2</v>
      </c>
      <c r="F213" s="151">
        <f t="shared" si="39"/>
        <v>3</v>
      </c>
      <c r="G213" s="176" t="s">
        <v>370</v>
      </c>
      <c r="H213" s="170">
        <v>1</v>
      </c>
      <c r="I213" s="165">
        <f t="shared" si="40"/>
        <v>0.1</v>
      </c>
      <c r="J213" s="114">
        <v>15</v>
      </c>
      <c r="K213" s="155">
        <f t="shared" si="41"/>
        <v>44006</v>
      </c>
      <c r="L213" s="117">
        <v>0</v>
      </c>
      <c r="M213" s="254">
        <f t="shared" si="43"/>
        <v>0</v>
      </c>
      <c r="N213" s="177"/>
      <c r="O213" s="177"/>
      <c r="P213" s="157">
        <f t="shared" ca="1" si="42"/>
        <v>0.1</v>
      </c>
    </row>
    <row r="214" spans="2:16" outlineLevel="1" x14ac:dyDescent="0.25">
      <c r="B214" s="116">
        <v>3.17</v>
      </c>
      <c r="C214" s="105" t="s">
        <v>336</v>
      </c>
      <c r="D214" s="105">
        <v>5</v>
      </c>
      <c r="E214" s="105">
        <v>2</v>
      </c>
      <c r="F214" s="135">
        <f t="shared" si="39"/>
        <v>3</v>
      </c>
      <c r="G214" s="174" t="s">
        <v>371</v>
      </c>
      <c r="H214" s="170">
        <v>1</v>
      </c>
      <c r="I214" s="115">
        <f t="shared" si="40"/>
        <v>0.1</v>
      </c>
      <c r="J214" s="110">
        <v>15</v>
      </c>
      <c r="K214" s="137">
        <f t="shared" si="41"/>
        <v>44006</v>
      </c>
      <c r="L214" s="117">
        <v>0</v>
      </c>
      <c r="M214" s="253">
        <f t="shared" si="43"/>
        <v>0</v>
      </c>
      <c r="N214" s="175"/>
      <c r="O214" s="175"/>
      <c r="P214" s="101">
        <f t="shared" ca="1" si="42"/>
        <v>0.1</v>
      </c>
    </row>
    <row r="215" spans="2:16" outlineLevel="1" x14ac:dyDescent="0.25">
      <c r="B215" s="166">
        <v>3.18</v>
      </c>
      <c r="C215" s="160" t="s">
        <v>336</v>
      </c>
      <c r="D215" s="160">
        <v>10</v>
      </c>
      <c r="E215" s="160">
        <v>5</v>
      </c>
      <c r="F215" s="151">
        <f t="shared" si="39"/>
        <v>5</v>
      </c>
      <c r="G215" s="176" t="s">
        <v>372</v>
      </c>
      <c r="H215" s="170">
        <v>1</v>
      </c>
      <c r="I215" s="165">
        <f t="shared" si="40"/>
        <v>0.1</v>
      </c>
      <c r="J215" s="114">
        <v>15</v>
      </c>
      <c r="K215" s="155">
        <f t="shared" si="41"/>
        <v>44006</v>
      </c>
      <c r="L215" s="117">
        <v>0</v>
      </c>
      <c r="M215" s="254">
        <f t="shared" si="43"/>
        <v>0</v>
      </c>
      <c r="N215" s="177"/>
      <c r="O215" s="177"/>
      <c r="P215" s="157">
        <f t="shared" ca="1" si="42"/>
        <v>0.1</v>
      </c>
    </row>
    <row r="216" spans="2:16" outlineLevel="1" x14ac:dyDescent="0.25">
      <c r="B216" s="116">
        <v>3.19</v>
      </c>
      <c r="C216" s="220" t="s">
        <v>336</v>
      </c>
      <c r="D216" s="220">
        <v>2</v>
      </c>
      <c r="E216" s="220">
        <v>5</v>
      </c>
      <c r="F216" s="221">
        <f t="shared" si="39"/>
        <v>-3</v>
      </c>
      <c r="G216" s="174" t="s">
        <v>373</v>
      </c>
      <c r="H216" s="170">
        <v>0</v>
      </c>
      <c r="I216" s="115">
        <f t="shared" si="40"/>
        <v>0</v>
      </c>
      <c r="J216" s="110">
        <v>15</v>
      </c>
      <c r="K216" s="137">
        <f t="shared" si="41"/>
        <v>44006</v>
      </c>
      <c r="L216" s="117">
        <v>0</v>
      </c>
      <c r="M216" s="253">
        <f t="shared" si="43"/>
        <v>0</v>
      </c>
      <c r="N216" s="175"/>
      <c r="O216" s="175"/>
      <c r="P216" s="101">
        <f t="shared" ca="1" si="42"/>
        <v>0</v>
      </c>
    </row>
    <row r="217" spans="2:16" ht="31.5" x14ac:dyDescent="0.25">
      <c r="B217" s="213">
        <v>4</v>
      </c>
      <c r="C217" s="171" t="s">
        <v>343</v>
      </c>
      <c r="D217" s="184" t="s">
        <v>320</v>
      </c>
      <c r="E217" s="171" t="s">
        <v>319</v>
      </c>
      <c r="F217" s="171" t="s">
        <v>342</v>
      </c>
      <c r="G217" s="171" t="s">
        <v>348</v>
      </c>
      <c r="H217" s="171" t="s">
        <v>333</v>
      </c>
      <c r="I217" s="214">
        <f>SUM(I218:I228)</f>
        <v>0.99999999999999989</v>
      </c>
      <c r="J217" s="171" t="s">
        <v>299</v>
      </c>
      <c r="K217" s="171" t="s">
        <v>339</v>
      </c>
      <c r="L217" s="214">
        <f>AVERAGE(L218:L220)</f>
        <v>0</v>
      </c>
      <c r="M217" s="214">
        <f>SUM(M218:M228)</f>
        <v>0</v>
      </c>
      <c r="N217" s="171" t="s">
        <v>340</v>
      </c>
      <c r="O217" s="171" t="s">
        <v>341</v>
      </c>
      <c r="P217" s="214">
        <f ca="1">SUM(P218:P228)</f>
        <v>0.99999999999999989</v>
      </c>
    </row>
    <row r="218" spans="2:16" outlineLevel="1" x14ac:dyDescent="0.25">
      <c r="B218" s="97">
        <v>4.01</v>
      </c>
      <c r="C218" s="159" t="s">
        <v>337</v>
      </c>
      <c r="D218" s="159">
        <v>40</v>
      </c>
      <c r="E218" s="159">
        <v>20</v>
      </c>
      <c r="F218" s="135">
        <f t="shared" si="39"/>
        <v>20</v>
      </c>
      <c r="G218" s="174" t="s">
        <v>359</v>
      </c>
      <c r="H218" s="170">
        <v>1</v>
      </c>
      <c r="I218" s="115">
        <f t="shared" ref="I218:I228" si="44">IF(H218=1,1/SUM(H$218:H$228),0)</f>
        <v>0.16666666666666666</v>
      </c>
      <c r="J218" s="118">
        <v>15</v>
      </c>
      <c r="K218" s="137">
        <f t="shared" ref="K218:K228" si="45">$G$7-J218</f>
        <v>44006</v>
      </c>
      <c r="L218" s="255">
        <v>0</v>
      </c>
      <c r="M218" s="253">
        <f>I218*L218</f>
        <v>0</v>
      </c>
      <c r="N218" s="175"/>
      <c r="O218" s="175"/>
      <c r="P218" s="101">
        <f ca="1">(IF(K218&lt;=TODAY(),1,0))*I218</f>
        <v>0.16666666666666666</v>
      </c>
    </row>
    <row r="219" spans="2:16" outlineLevel="1" x14ac:dyDescent="0.25">
      <c r="B219" s="153">
        <v>4.0199999999999996</v>
      </c>
      <c r="C219" s="160" t="s">
        <v>337</v>
      </c>
      <c r="D219" s="160">
        <v>35</v>
      </c>
      <c r="E219" s="160">
        <v>30</v>
      </c>
      <c r="F219" s="151">
        <f t="shared" si="39"/>
        <v>5</v>
      </c>
      <c r="G219" s="176" t="s">
        <v>360</v>
      </c>
      <c r="H219" s="170">
        <v>1</v>
      </c>
      <c r="I219" s="165">
        <f t="shared" si="44"/>
        <v>0.16666666666666666</v>
      </c>
      <c r="J219" s="167">
        <v>15</v>
      </c>
      <c r="K219" s="155">
        <f t="shared" si="45"/>
        <v>44006</v>
      </c>
      <c r="L219" s="255">
        <v>0</v>
      </c>
      <c r="M219" s="254">
        <f t="shared" ref="M219:M228" si="46">I219*L219</f>
        <v>0</v>
      </c>
      <c r="N219" s="177"/>
      <c r="O219" s="177"/>
      <c r="P219" s="157">
        <f ca="1">(IF(K219&lt;=TODAY(),1,0))*I219</f>
        <v>0.16666666666666666</v>
      </c>
    </row>
    <row r="220" spans="2:16" outlineLevel="1" x14ac:dyDescent="0.25">
      <c r="B220" s="97">
        <v>4.03</v>
      </c>
      <c r="C220" s="105" t="s">
        <v>337</v>
      </c>
      <c r="D220" s="105">
        <v>40</v>
      </c>
      <c r="E220" s="105">
        <v>40</v>
      </c>
      <c r="F220" s="135">
        <f t="shared" si="39"/>
        <v>0</v>
      </c>
      <c r="G220" s="174" t="s">
        <v>440</v>
      </c>
      <c r="H220" s="170">
        <v>0</v>
      </c>
      <c r="I220" s="115">
        <f t="shared" si="44"/>
        <v>0</v>
      </c>
      <c r="J220" s="118">
        <v>15</v>
      </c>
      <c r="K220" s="137">
        <f t="shared" si="45"/>
        <v>44006</v>
      </c>
      <c r="L220" s="255">
        <v>0</v>
      </c>
      <c r="M220" s="253">
        <f t="shared" si="46"/>
        <v>0</v>
      </c>
      <c r="N220" s="175"/>
      <c r="O220" s="175"/>
      <c r="P220" s="101">
        <f ca="1">(IF(K220&lt;=TODAY(),1,0))*I220</f>
        <v>0</v>
      </c>
    </row>
    <row r="221" spans="2:16" outlineLevel="1" x14ac:dyDescent="0.25">
      <c r="B221" s="153">
        <v>4.04</v>
      </c>
      <c r="C221" s="160" t="s">
        <v>337</v>
      </c>
      <c r="D221" s="160">
        <v>20</v>
      </c>
      <c r="E221" s="160">
        <v>20</v>
      </c>
      <c r="F221" s="151">
        <f t="shared" si="39"/>
        <v>0</v>
      </c>
      <c r="G221" s="176" t="s">
        <v>768</v>
      </c>
      <c r="H221" s="170">
        <v>0</v>
      </c>
      <c r="I221" s="165">
        <f t="shared" si="44"/>
        <v>0</v>
      </c>
      <c r="J221" s="167">
        <v>15</v>
      </c>
      <c r="K221" s="155">
        <f t="shared" si="45"/>
        <v>44006</v>
      </c>
      <c r="L221" s="255">
        <v>0</v>
      </c>
      <c r="M221" s="254">
        <f t="shared" si="46"/>
        <v>0</v>
      </c>
      <c r="N221" s="177"/>
      <c r="O221" s="177"/>
      <c r="P221" s="157">
        <f ca="1">(IF(K221&lt;=TODAY(),1,0))*I221</f>
        <v>0</v>
      </c>
    </row>
    <row r="222" spans="2:16" outlineLevel="1" x14ac:dyDescent="0.25">
      <c r="B222" s="97">
        <v>4.05</v>
      </c>
      <c r="C222" s="105">
        <v>153718</v>
      </c>
      <c r="D222" s="105"/>
      <c r="E222" s="105"/>
      <c r="F222" s="135">
        <f t="shared" si="39"/>
        <v>0</v>
      </c>
      <c r="G222" s="174" t="s">
        <v>1471</v>
      </c>
      <c r="H222" s="170">
        <v>1</v>
      </c>
      <c r="I222" s="115">
        <f t="shared" si="44"/>
        <v>0.16666666666666666</v>
      </c>
      <c r="J222" s="118">
        <v>15</v>
      </c>
      <c r="K222" s="137">
        <f t="shared" si="45"/>
        <v>44006</v>
      </c>
      <c r="L222" s="255">
        <v>0</v>
      </c>
      <c r="M222" s="253">
        <f t="shared" si="46"/>
        <v>0</v>
      </c>
      <c r="N222" s="175"/>
      <c r="O222" s="175"/>
      <c r="P222" s="101">
        <f ca="1">(IF(K222&lt;=TODAY(),1,0))*I222</f>
        <v>0.16666666666666666</v>
      </c>
    </row>
    <row r="223" spans="2:16" outlineLevel="1" x14ac:dyDescent="0.25">
      <c r="B223" s="97"/>
      <c r="C223" s="105">
        <v>45690</v>
      </c>
      <c r="D223" s="105"/>
      <c r="E223" s="105"/>
      <c r="F223" s="135"/>
      <c r="G223" s="174" t="s">
        <v>1471</v>
      </c>
      <c r="H223" s="170"/>
      <c r="I223" s="115"/>
      <c r="J223" s="118"/>
      <c r="K223" s="137"/>
      <c r="L223" s="255"/>
      <c r="M223" s="253"/>
      <c r="N223" s="175"/>
      <c r="O223" s="175"/>
      <c r="P223" s="101"/>
    </row>
    <row r="224" spans="2:16" outlineLevel="1" x14ac:dyDescent="0.25">
      <c r="B224" s="153">
        <v>4.0599999999999996</v>
      </c>
      <c r="C224" s="160" t="s">
        <v>345</v>
      </c>
      <c r="D224" s="160">
        <v>2</v>
      </c>
      <c r="E224" s="160">
        <v>2</v>
      </c>
      <c r="F224" s="151">
        <f t="shared" si="39"/>
        <v>0</v>
      </c>
      <c r="G224" s="176" t="s">
        <v>489</v>
      </c>
      <c r="H224" s="170">
        <v>0</v>
      </c>
      <c r="I224" s="165">
        <f t="shared" si="44"/>
        <v>0</v>
      </c>
      <c r="J224" s="167">
        <v>15</v>
      </c>
      <c r="K224" s="155">
        <f t="shared" si="45"/>
        <v>44006</v>
      </c>
      <c r="L224" s="255">
        <v>0</v>
      </c>
      <c r="M224" s="254">
        <f t="shared" si="46"/>
        <v>0</v>
      </c>
      <c r="N224" s="177"/>
      <c r="O224" s="177"/>
      <c r="P224" s="157">
        <f ca="1">(IF(K224&lt;=TODAY(),1,0))*I224</f>
        <v>0</v>
      </c>
    </row>
    <row r="225" spans="2:16" outlineLevel="1" x14ac:dyDescent="0.25">
      <c r="B225" s="97">
        <v>4.07</v>
      </c>
      <c r="C225" s="105" t="s">
        <v>345</v>
      </c>
      <c r="D225" s="105">
        <v>10</v>
      </c>
      <c r="E225" s="105">
        <v>5</v>
      </c>
      <c r="F225" s="135">
        <f t="shared" si="39"/>
        <v>5</v>
      </c>
      <c r="G225" s="174" t="s">
        <v>338</v>
      </c>
      <c r="H225" s="170">
        <v>1</v>
      </c>
      <c r="I225" s="115">
        <f t="shared" si="44"/>
        <v>0.16666666666666666</v>
      </c>
      <c r="J225" s="118">
        <v>15</v>
      </c>
      <c r="K225" s="137">
        <f t="shared" si="45"/>
        <v>44006</v>
      </c>
      <c r="L225" s="255">
        <v>0</v>
      </c>
      <c r="M225" s="253">
        <f t="shared" si="46"/>
        <v>0</v>
      </c>
      <c r="N225" s="175"/>
      <c r="O225" s="175"/>
      <c r="P225" s="101">
        <f ca="1">(IF(K225&lt;=TODAY(),1,0))*I225</f>
        <v>0.16666666666666666</v>
      </c>
    </row>
    <row r="226" spans="2:16" outlineLevel="1" x14ac:dyDescent="0.25">
      <c r="B226" s="153">
        <v>4.08</v>
      </c>
      <c r="C226" s="160" t="s">
        <v>345</v>
      </c>
      <c r="D226" s="160"/>
      <c r="E226" s="160">
        <v>5</v>
      </c>
      <c r="F226" s="151">
        <f t="shared" si="39"/>
        <v>-5</v>
      </c>
      <c r="G226" s="176" t="s">
        <v>361</v>
      </c>
      <c r="H226" s="170">
        <v>0</v>
      </c>
      <c r="I226" s="165">
        <f t="shared" si="44"/>
        <v>0</v>
      </c>
      <c r="J226" s="167">
        <v>15</v>
      </c>
      <c r="K226" s="155">
        <f t="shared" si="45"/>
        <v>44006</v>
      </c>
      <c r="L226" s="255">
        <v>0</v>
      </c>
      <c r="M226" s="254">
        <f t="shared" si="46"/>
        <v>0</v>
      </c>
      <c r="N226" s="177" t="s">
        <v>462</v>
      </c>
      <c r="O226" s="177"/>
      <c r="P226" s="157">
        <f ca="1">(IF(K226&lt;=TODAY(),1,0))*I226</f>
        <v>0</v>
      </c>
    </row>
    <row r="227" spans="2:16" outlineLevel="1" x14ac:dyDescent="0.25">
      <c r="B227" s="97">
        <v>4.09</v>
      </c>
      <c r="C227" s="105" t="s">
        <v>374</v>
      </c>
      <c r="D227" s="105">
        <v>5</v>
      </c>
      <c r="E227" s="105">
        <v>4</v>
      </c>
      <c r="F227" s="135">
        <f t="shared" si="39"/>
        <v>1</v>
      </c>
      <c r="G227" s="174" t="s">
        <v>375</v>
      </c>
      <c r="H227" s="170">
        <v>1</v>
      </c>
      <c r="I227" s="115">
        <f t="shared" si="44"/>
        <v>0.16666666666666666</v>
      </c>
      <c r="J227" s="118">
        <v>15</v>
      </c>
      <c r="K227" s="137">
        <f t="shared" si="45"/>
        <v>44006</v>
      </c>
      <c r="L227" s="255">
        <v>0</v>
      </c>
      <c r="M227" s="253">
        <f t="shared" si="46"/>
        <v>0</v>
      </c>
      <c r="N227" s="175"/>
      <c r="O227" s="175"/>
      <c r="P227" s="101">
        <f ca="1">(IF(K227&lt;=TODAY(),1,0))*I227</f>
        <v>0.16666666666666666</v>
      </c>
    </row>
    <row r="228" spans="2:16" outlineLevel="1" x14ac:dyDescent="0.25">
      <c r="B228" s="153">
        <v>4.0999999999999996</v>
      </c>
      <c r="C228" s="183" t="s">
        <v>374</v>
      </c>
      <c r="D228" s="183">
        <v>5</v>
      </c>
      <c r="E228" s="183">
        <v>4</v>
      </c>
      <c r="F228" s="151">
        <f t="shared" si="39"/>
        <v>1</v>
      </c>
      <c r="G228" s="176" t="s">
        <v>376</v>
      </c>
      <c r="H228" s="170">
        <v>1</v>
      </c>
      <c r="I228" s="165">
        <f t="shared" si="44"/>
        <v>0.16666666666666666</v>
      </c>
      <c r="J228" s="167">
        <v>15</v>
      </c>
      <c r="K228" s="155">
        <f t="shared" si="45"/>
        <v>44006</v>
      </c>
      <c r="L228" s="255">
        <v>0</v>
      </c>
      <c r="M228" s="254">
        <f t="shared" si="46"/>
        <v>0</v>
      </c>
      <c r="N228" s="177"/>
      <c r="O228" s="177"/>
      <c r="P228" s="157">
        <f ca="1">(IF(K228&lt;=TODAY(),1,0))*I228</f>
        <v>0.16666666666666666</v>
      </c>
    </row>
    <row r="229" spans="2:16" ht="31.5" x14ac:dyDescent="0.25">
      <c r="B229" s="213">
        <v>5</v>
      </c>
      <c r="C229" s="171" t="s">
        <v>343</v>
      </c>
      <c r="D229" s="184" t="s">
        <v>320</v>
      </c>
      <c r="E229" s="171" t="s">
        <v>319</v>
      </c>
      <c r="F229" s="171" t="s">
        <v>342</v>
      </c>
      <c r="G229" s="171" t="s">
        <v>346</v>
      </c>
      <c r="H229" s="171" t="s">
        <v>333</v>
      </c>
      <c r="I229" s="214">
        <f>SUM(I230:I238)</f>
        <v>1.0000000000000002</v>
      </c>
      <c r="J229" s="171" t="s">
        <v>299</v>
      </c>
      <c r="K229" s="171" t="s">
        <v>339</v>
      </c>
      <c r="L229" s="214">
        <f>AVERAGE(L230:L238)</f>
        <v>0</v>
      </c>
      <c r="M229" s="214">
        <f>SUM(M230:M238)</f>
        <v>0</v>
      </c>
      <c r="N229" s="171" t="s">
        <v>340</v>
      </c>
      <c r="O229" s="171" t="s">
        <v>341</v>
      </c>
      <c r="P229" s="214">
        <f ca="1">SUM(P230:P238)</f>
        <v>1.0000000000000002</v>
      </c>
    </row>
    <row r="230" spans="2:16" outlineLevel="1" x14ac:dyDescent="0.25">
      <c r="B230" s="97">
        <v>5.01</v>
      </c>
      <c r="C230" s="159" t="s">
        <v>346</v>
      </c>
      <c r="D230" s="159">
        <v>50</v>
      </c>
      <c r="E230" s="159">
        <v>24</v>
      </c>
      <c r="F230" s="135">
        <f t="shared" si="39"/>
        <v>26</v>
      </c>
      <c r="G230" s="174" t="s">
        <v>350</v>
      </c>
      <c r="H230" s="170">
        <v>1</v>
      </c>
      <c r="I230" s="115">
        <f t="shared" ref="I230:I238" si="47">IF(H230=1,1/SUM(H$230:H$238),0)</f>
        <v>0.1111111111111111</v>
      </c>
      <c r="J230" s="119">
        <v>15</v>
      </c>
      <c r="K230" s="137">
        <f t="shared" ref="K230:K238" si="48">$G$7-J230</f>
        <v>44006</v>
      </c>
      <c r="L230" s="255">
        <v>0</v>
      </c>
      <c r="M230" s="253">
        <f>I230*L230</f>
        <v>0</v>
      </c>
      <c r="N230" s="178"/>
      <c r="O230" s="97"/>
      <c r="P230" s="101">
        <f t="shared" ref="P230:P238" ca="1" si="49">(IF(K230&lt;=TODAY(),1,0))*I230</f>
        <v>0.1111111111111111</v>
      </c>
    </row>
    <row r="231" spans="2:16" outlineLevel="1" x14ac:dyDescent="0.25">
      <c r="B231" s="153">
        <v>5.0199999999999996</v>
      </c>
      <c r="C231" s="160" t="s">
        <v>346</v>
      </c>
      <c r="D231" s="160">
        <v>50</v>
      </c>
      <c r="E231" s="160">
        <v>24</v>
      </c>
      <c r="F231" s="151">
        <f t="shared" si="39"/>
        <v>26</v>
      </c>
      <c r="G231" s="176" t="s">
        <v>351</v>
      </c>
      <c r="H231" s="170">
        <v>1</v>
      </c>
      <c r="I231" s="165">
        <f t="shared" si="47"/>
        <v>0.1111111111111111</v>
      </c>
      <c r="J231" s="168">
        <v>15</v>
      </c>
      <c r="K231" s="155">
        <f t="shared" si="48"/>
        <v>44006</v>
      </c>
      <c r="L231" s="255">
        <v>0</v>
      </c>
      <c r="M231" s="254">
        <f t="shared" ref="M231:M238" si="50">I231*L231</f>
        <v>0</v>
      </c>
      <c r="N231" s="179"/>
      <c r="O231" s="180"/>
      <c r="P231" s="157">
        <f t="shared" ca="1" si="49"/>
        <v>0.1111111111111111</v>
      </c>
    </row>
    <row r="232" spans="2:16" outlineLevel="1" x14ac:dyDescent="0.25">
      <c r="B232" s="97">
        <v>5.03</v>
      </c>
      <c r="C232" s="105" t="s">
        <v>346</v>
      </c>
      <c r="D232" s="105">
        <v>120</v>
      </c>
      <c r="E232" s="105">
        <v>60</v>
      </c>
      <c r="F232" s="135">
        <f t="shared" si="39"/>
        <v>60</v>
      </c>
      <c r="G232" s="174" t="s">
        <v>352</v>
      </c>
      <c r="H232" s="170">
        <v>1</v>
      </c>
      <c r="I232" s="115">
        <f t="shared" si="47"/>
        <v>0.1111111111111111</v>
      </c>
      <c r="J232" s="119">
        <v>15</v>
      </c>
      <c r="K232" s="137">
        <f t="shared" si="48"/>
        <v>44006</v>
      </c>
      <c r="L232" s="255">
        <v>0</v>
      </c>
      <c r="M232" s="253">
        <f t="shared" si="50"/>
        <v>0</v>
      </c>
      <c r="N232" s="178"/>
      <c r="O232" s="97"/>
      <c r="P232" s="101">
        <f t="shared" ca="1" si="49"/>
        <v>0.1111111111111111</v>
      </c>
    </row>
    <row r="233" spans="2:16" outlineLevel="1" x14ac:dyDescent="0.25">
      <c r="B233" s="153">
        <v>5.04</v>
      </c>
      <c r="C233" s="160" t="s">
        <v>346</v>
      </c>
      <c r="D233" s="160">
        <v>20</v>
      </c>
      <c r="E233" s="160">
        <v>0</v>
      </c>
      <c r="F233" s="151">
        <f t="shared" ref="F233:F238" si="51">D233-E233</f>
        <v>20</v>
      </c>
      <c r="G233" s="176" t="s">
        <v>353</v>
      </c>
      <c r="H233" s="170">
        <v>1</v>
      </c>
      <c r="I233" s="165">
        <f t="shared" si="47"/>
        <v>0.1111111111111111</v>
      </c>
      <c r="J233" s="168">
        <v>15</v>
      </c>
      <c r="K233" s="155">
        <f t="shared" si="48"/>
        <v>44006</v>
      </c>
      <c r="L233" s="255">
        <v>0</v>
      </c>
      <c r="M233" s="254">
        <f t="shared" si="50"/>
        <v>0</v>
      </c>
      <c r="N233" s="179"/>
      <c r="O233" s="180"/>
      <c r="P233" s="157">
        <f t="shared" ca="1" si="49"/>
        <v>0.1111111111111111</v>
      </c>
    </row>
    <row r="234" spans="2:16" outlineLevel="1" x14ac:dyDescent="0.25">
      <c r="B234" s="97">
        <v>5.05</v>
      </c>
      <c r="C234" s="105" t="s">
        <v>346</v>
      </c>
      <c r="D234" s="105">
        <v>40</v>
      </c>
      <c r="E234" s="105">
        <v>20</v>
      </c>
      <c r="F234" s="135">
        <f t="shared" si="51"/>
        <v>20</v>
      </c>
      <c r="G234" s="174" t="s">
        <v>354</v>
      </c>
      <c r="H234" s="170">
        <v>1</v>
      </c>
      <c r="I234" s="115">
        <f t="shared" si="47"/>
        <v>0.1111111111111111</v>
      </c>
      <c r="J234" s="119">
        <v>15</v>
      </c>
      <c r="K234" s="137">
        <f t="shared" si="48"/>
        <v>44006</v>
      </c>
      <c r="L234" s="255">
        <v>0</v>
      </c>
      <c r="M234" s="253">
        <f t="shared" si="50"/>
        <v>0</v>
      </c>
      <c r="N234" s="178"/>
      <c r="O234" s="97"/>
      <c r="P234" s="101">
        <f t="shared" ca="1" si="49"/>
        <v>0.1111111111111111</v>
      </c>
    </row>
    <row r="235" spans="2:16" outlineLevel="1" x14ac:dyDescent="0.25">
      <c r="B235" s="153">
        <v>5.0599999999999996</v>
      </c>
      <c r="C235" s="160" t="s">
        <v>346</v>
      </c>
      <c r="D235" s="160">
        <v>5</v>
      </c>
      <c r="E235" s="160">
        <v>4</v>
      </c>
      <c r="F235" s="151">
        <f t="shared" si="51"/>
        <v>1</v>
      </c>
      <c r="G235" s="176" t="s">
        <v>355</v>
      </c>
      <c r="H235" s="170">
        <v>1</v>
      </c>
      <c r="I235" s="165">
        <f t="shared" si="47"/>
        <v>0.1111111111111111</v>
      </c>
      <c r="J235" s="168">
        <v>15</v>
      </c>
      <c r="K235" s="155">
        <f t="shared" si="48"/>
        <v>44006</v>
      </c>
      <c r="L235" s="255">
        <v>0</v>
      </c>
      <c r="M235" s="254">
        <f t="shared" si="50"/>
        <v>0</v>
      </c>
      <c r="N235" s="179"/>
      <c r="O235" s="180"/>
      <c r="P235" s="157">
        <f t="shared" ca="1" si="49"/>
        <v>0.1111111111111111</v>
      </c>
    </row>
    <row r="236" spans="2:16" outlineLevel="1" x14ac:dyDescent="0.25">
      <c r="B236" s="97">
        <v>5.07</v>
      </c>
      <c r="C236" s="105" t="s">
        <v>346</v>
      </c>
      <c r="D236" s="105">
        <v>10</v>
      </c>
      <c r="E236" s="105">
        <v>4</v>
      </c>
      <c r="F236" s="135">
        <f t="shared" si="51"/>
        <v>6</v>
      </c>
      <c r="G236" s="174" t="s">
        <v>356</v>
      </c>
      <c r="H236" s="170">
        <v>1</v>
      </c>
      <c r="I236" s="115">
        <f t="shared" si="47"/>
        <v>0.1111111111111111</v>
      </c>
      <c r="J236" s="119">
        <v>15</v>
      </c>
      <c r="K236" s="137">
        <f t="shared" si="48"/>
        <v>44006</v>
      </c>
      <c r="L236" s="255">
        <v>0</v>
      </c>
      <c r="M236" s="253">
        <f t="shared" si="50"/>
        <v>0</v>
      </c>
      <c r="N236" s="178"/>
      <c r="O236" s="97"/>
      <c r="P236" s="101">
        <f t="shared" ca="1" si="49"/>
        <v>0.1111111111111111</v>
      </c>
    </row>
    <row r="237" spans="2:16" outlineLevel="1" x14ac:dyDescent="0.25">
      <c r="B237" s="153">
        <v>5.08</v>
      </c>
      <c r="C237" s="160" t="s">
        <v>346</v>
      </c>
      <c r="D237" s="160">
        <v>20</v>
      </c>
      <c r="E237" s="160">
        <v>6</v>
      </c>
      <c r="F237" s="151">
        <f t="shared" si="51"/>
        <v>14</v>
      </c>
      <c r="G237" s="176" t="s">
        <v>357</v>
      </c>
      <c r="H237" s="170">
        <v>1</v>
      </c>
      <c r="I237" s="165">
        <f t="shared" si="47"/>
        <v>0.1111111111111111</v>
      </c>
      <c r="J237" s="168">
        <v>15</v>
      </c>
      <c r="K237" s="155">
        <f t="shared" si="48"/>
        <v>44006</v>
      </c>
      <c r="L237" s="255">
        <v>0</v>
      </c>
      <c r="M237" s="254">
        <f t="shared" si="50"/>
        <v>0</v>
      </c>
      <c r="N237" s="181" t="s">
        <v>435</v>
      </c>
      <c r="O237" s="180"/>
      <c r="P237" s="157">
        <f t="shared" ca="1" si="49"/>
        <v>0.1111111111111111</v>
      </c>
    </row>
    <row r="238" spans="2:16" outlineLevel="1" x14ac:dyDescent="0.25">
      <c r="B238" s="97">
        <v>5.09</v>
      </c>
      <c r="C238" s="105" t="s">
        <v>346</v>
      </c>
      <c r="D238" s="105">
        <v>50</v>
      </c>
      <c r="E238" s="105">
        <v>20</v>
      </c>
      <c r="F238" s="135">
        <f t="shared" si="51"/>
        <v>30</v>
      </c>
      <c r="G238" s="174" t="s">
        <v>358</v>
      </c>
      <c r="H238" s="170">
        <v>1</v>
      </c>
      <c r="I238" s="115">
        <f t="shared" si="47"/>
        <v>0.1111111111111111</v>
      </c>
      <c r="J238" s="119">
        <v>15</v>
      </c>
      <c r="K238" s="137">
        <f t="shared" si="48"/>
        <v>44006</v>
      </c>
      <c r="L238" s="255">
        <v>0</v>
      </c>
      <c r="M238" s="253">
        <f t="shared" si="50"/>
        <v>0</v>
      </c>
      <c r="N238" s="178"/>
      <c r="O238" s="97"/>
      <c r="P238" s="101">
        <f t="shared" ca="1" si="49"/>
        <v>0.1111111111111111</v>
      </c>
    </row>
  </sheetData>
  <autoFilter ref="B16:P238" xr:uid="{FA1A1191-AFBA-46FE-A48F-A0F6BE296C2E}"/>
  <mergeCells count="16">
    <mergeCell ref="B12:F12"/>
    <mergeCell ref="L12:M12"/>
    <mergeCell ref="B13:F13"/>
    <mergeCell ref="N150:N153"/>
    <mergeCell ref="B9:F9"/>
    <mergeCell ref="L9:M9"/>
    <mergeCell ref="B10:F10"/>
    <mergeCell ref="L10:M10"/>
    <mergeCell ref="B11:F11"/>
    <mergeCell ref="L11:M11"/>
    <mergeCell ref="A1:E5"/>
    <mergeCell ref="G1:L3"/>
    <mergeCell ref="B7:F7"/>
    <mergeCell ref="O7:P7"/>
    <mergeCell ref="B8:F8"/>
    <mergeCell ref="L8:M8"/>
  </mergeCells>
  <phoneticPr fontId="53" type="noConversion"/>
  <conditionalFormatting sqref="P13 O15">
    <cfRule type="expression" dxfId="110" priority="51">
      <formula>M13&lt;(N13*0.5)</formula>
    </cfRule>
    <cfRule type="expression" dxfId="109" priority="52">
      <formula>M13&gt;=(N13*0.5)</formula>
    </cfRule>
    <cfRule type="expression" dxfId="108" priority="53">
      <formula>M13&gt;(N13*0.8)</formula>
    </cfRule>
  </conditionalFormatting>
  <conditionalFormatting sqref="P8:P12">
    <cfRule type="expression" dxfId="107" priority="54">
      <formula>N8&lt;(O8*0.5)</formula>
    </cfRule>
    <cfRule type="expression" dxfId="106" priority="60">
      <formula>N8&lt;=(O8*0.8)</formula>
    </cfRule>
    <cfRule type="expression" dxfId="105" priority="61">
      <formula>N8&gt;(O8*0.8)</formula>
    </cfRule>
  </conditionalFormatting>
  <conditionalFormatting sqref="Q9:Q13">
    <cfRule type="expression" dxfId="104" priority="58" stopIfTrue="1">
      <formula>(O9-3%)&lt;=N9&lt;(O9-1%)</formula>
    </cfRule>
    <cfRule type="expression" dxfId="103" priority="59" stopIfTrue="1">
      <formula>N9&gt;=(O9-1%)</formula>
    </cfRule>
  </conditionalFormatting>
  <conditionalFormatting sqref="Q8">
    <cfRule type="expression" dxfId="102" priority="55" stopIfTrue="1">
      <formula>O8&gt;=(P8-5%)</formula>
    </cfRule>
    <cfRule type="expression" dxfId="101" priority="56" stopIfTrue="1">
      <formula>O8&lt;(P8-5%)</formula>
    </cfRule>
    <cfRule type="expression" dxfId="100" priority="57" stopIfTrue="1">
      <formula>O8&lt;(P8-10%)</formula>
    </cfRule>
  </conditionalFormatting>
  <conditionalFormatting sqref="H18:H21">
    <cfRule type="iconSet" priority="50">
      <iconSet>
        <cfvo type="percent" val="0"/>
        <cfvo type="num" val="0"/>
        <cfvo type="num" val="1"/>
      </iconSet>
    </cfRule>
  </conditionalFormatting>
  <conditionalFormatting sqref="H22">
    <cfRule type="iconSet" priority="49">
      <iconSet>
        <cfvo type="percent" val="0"/>
        <cfvo type="num" val="0"/>
        <cfvo type="num" val="1"/>
      </iconSet>
    </cfRule>
  </conditionalFormatting>
  <conditionalFormatting sqref="L18:L29">
    <cfRule type="iconSet" priority="48">
      <iconSet>
        <cfvo type="percent" val="0"/>
        <cfvo type="percent" val="30"/>
        <cfvo type="percent" val="60"/>
      </iconSet>
    </cfRule>
  </conditionalFormatting>
  <conditionalFormatting sqref="L230:L238">
    <cfRule type="iconSet" priority="46">
      <iconSet>
        <cfvo type="percent" val="0"/>
        <cfvo type="percent" val="33"/>
        <cfvo type="percent" val="67"/>
      </iconSet>
    </cfRule>
  </conditionalFormatting>
  <conditionalFormatting sqref="L198:L216">
    <cfRule type="iconSet" priority="47">
      <iconSet>
        <cfvo type="percent" val="0"/>
        <cfvo type="percent" val="33"/>
        <cfvo type="percent" val="67"/>
      </iconSet>
    </cfRule>
  </conditionalFormatting>
  <conditionalFormatting sqref="H198:H216">
    <cfRule type="iconSet" priority="45">
      <iconSet>
        <cfvo type="percent" val="0"/>
        <cfvo type="num" val="0"/>
        <cfvo type="num" val="1"/>
      </iconSet>
    </cfRule>
  </conditionalFormatting>
  <conditionalFormatting sqref="H218:H228">
    <cfRule type="iconSet" priority="44">
      <iconSet>
        <cfvo type="percent" val="0"/>
        <cfvo type="num" val="0"/>
        <cfvo type="num" val="1"/>
      </iconSet>
    </cfRule>
  </conditionalFormatting>
  <conditionalFormatting sqref="H230:H238">
    <cfRule type="iconSet" priority="43">
      <iconSet>
        <cfvo type="percent" val="0"/>
        <cfvo type="num" val="0"/>
        <cfvo type="num" val="1"/>
      </iconSet>
    </cfRule>
  </conditionalFormatting>
  <conditionalFormatting sqref="P14">
    <cfRule type="expression" dxfId="99" priority="40">
      <formula>N14&lt;(O14*0.5)</formula>
    </cfRule>
    <cfRule type="expression" dxfId="98" priority="41">
      <formula>N14&gt;=(O14*0.5)</formula>
    </cfRule>
    <cfRule type="expression" dxfId="97" priority="42">
      <formula>N14&gt;(O14*0.8)</formula>
    </cfRule>
  </conditionalFormatting>
  <conditionalFormatting sqref="F18:F29">
    <cfRule type="iconSet" priority="36">
      <iconSet iconSet="3Symbols">
        <cfvo type="percent" val="0"/>
        <cfvo type="num" val="0"/>
        <cfvo type="num" val="0" gte="0"/>
      </iconSet>
    </cfRule>
  </conditionalFormatting>
  <conditionalFormatting sqref="F55:F56">
    <cfRule type="iconSet" priority="34">
      <iconSet iconSet="3Symbols">
        <cfvo type="percent" val="0"/>
        <cfvo type="num" val="0"/>
        <cfvo type="num" val="0" gte="0"/>
      </iconSet>
    </cfRule>
  </conditionalFormatting>
  <conditionalFormatting sqref="F57:F72">
    <cfRule type="iconSet" priority="33">
      <iconSet iconSet="3Symbols">
        <cfvo type="percent" val="0"/>
        <cfvo type="num" val="0"/>
        <cfvo type="num" val="0" gte="0"/>
      </iconSet>
    </cfRule>
  </conditionalFormatting>
  <conditionalFormatting sqref="F87 F74:F85">
    <cfRule type="iconSet" priority="32">
      <iconSet iconSet="3Symbols">
        <cfvo type="percent" val="0"/>
        <cfvo type="num" val="0"/>
        <cfvo type="num" val="0" gte="0"/>
      </iconSet>
    </cfRule>
  </conditionalFormatting>
  <conditionalFormatting sqref="F89:F92">
    <cfRule type="iconSet" priority="29">
      <iconSet iconSet="3Symbols">
        <cfvo type="percent" val="0"/>
        <cfvo type="num" val="0"/>
        <cfvo type="num" val="0" gte="0"/>
      </iconSet>
    </cfRule>
  </conditionalFormatting>
  <conditionalFormatting sqref="F94:F101">
    <cfRule type="iconSet" priority="28">
      <iconSet iconSet="3Symbols">
        <cfvo type="percent" val="0"/>
        <cfvo type="num" val="0"/>
        <cfvo type="num" val="0" gte="0"/>
      </iconSet>
    </cfRule>
  </conditionalFormatting>
  <conditionalFormatting sqref="F103:F109">
    <cfRule type="iconSet" priority="27">
      <iconSet iconSet="3Symbols">
        <cfvo type="percent" val="0"/>
        <cfvo type="num" val="0"/>
        <cfvo type="num" val="0" gte="0"/>
      </iconSet>
    </cfRule>
  </conditionalFormatting>
  <conditionalFormatting sqref="F111:F115">
    <cfRule type="iconSet" priority="26">
      <iconSet iconSet="3Symbols">
        <cfvo type="percent" val="0"/>
        <cfvo type="num" val="0"/>
        <cfvo type="num" val="0" gte="0"/>
      </iconSet>
    </cfRule>
  </conditionalFormatting>
  <conditionalFormatting sqref="F150:F153 F136:F137">
    <cfRule type="iconSet" priority="24">
      <iconSet iconSet="3Symbols">
        <cfvo type="percent" val="0"/>
        <cfvo type="num" val="0"/>
        <cfvo type="num" val="0" gte="0"/>
      </iconSet>
    </cfRule>
  </conditionalFormatting>
  <conditionalFormatting sqref="F154">
    <cfRule type="iconSet" priority="22">
      <iconSet iconSet="3Symbols">
        <cfvo type="percent" val="0"/>
        <cfvo type="num" val="0"/>
        <cfvo type="num" val="0" gte="0"/>
      </iconSet>
    </cfRule>
  </conditionalFormatting>
  <conditionalFormatting sqref="F198:F201">
    <cfRule type="iconSet" priority="20">
      <iconSet iconSet="3Symbols">
        <cfvo type="percent" val="0"/>
        <cfvo type="num" val="0"/>
        <cfvo type="num" val="0" gte="0"/>
      </iconSet>
    </cfRule>
  </conditionalFormatting>
  <conditionalFormatting sqref="F202:F216">
    <cfRule type="iconSet" priority="19">
      <iconSet iconSet="3Symbols">
        <cfvo type="percent" val="0"/>
        <cfvo type="num" val="0"/>
        <cfvo type="num" val="0" gte="0"/>
      </iconSet>
    </cfRule>
  </conditionalFormatting>
  <conditionalFormatting sqref="F218:F219">
    <cfRule type="iconSet" priority="18">
      <iconSet iconSet="3Symbols">
        <cfvo type="percent" val="0"/>
        <cfvo type="num" val="0"/>
        <cfvo type="num" val="0" gte="0"/>
      </iconSet>
    </cfRule>
  </conditionalFormatting>
  <conditionalFormatting sqref="F220:F228">
    <cfRule type="iconSet" priority="17">
      <iconSet iconSet="3Symbols">
        <cfvo type="percent" val="0"/>
        <cfvo type="num" val="0"/>
        <cfvo type="num" val="0" gte="0"/>
      </iconSet>
    </cfRule>
  </conditionalFormatting>
  <conditionalFormatting sqref="F230:F231">
    <cfRule type="iconSet" priority="16">
      <iconSet iconSet="3Symbols">
        <cfvo type="percent" val="0"/>
        <cfvo type="num" val="0"/>
        <cfvo type="num" val="0" gte="0"/>
      </iconSet>
    </cfRule>
  </conditionalFormatting>
  <conditionalFormatting sqref="F232:F238">
    <cfRule type="iconSet" priority="15">
      <iconSet iconSet="3Symbols">
        <cfvo type="percent" val="0"/>
        <cfvo type="num" val="0"/>
        <cfvo type="num" val="0" gte="0"/>
      </iconSet>
    </cfRule>
  </conditionalFormatting>
  <conditionalFormatting sqref="F86">
    <cfRule type="iconSet" priority="14">
      <iconSet iconSet="3Symbols">
        <cfvo type="percent" val="0"/>
        <cfvo type="num" val="0"/>
        <cfvo type="num" val="0" gte="0"/>
      </iconSet>
    </cfRule>
  </conditionalFormatting>
  <conditionalFormatting sqref="L31:L53">
    <cfRule type="iconSet" priority="13">
      <iconSet>
        <cfvo type="percent" val="0"/>
        <cfvo type="percent" val="30"/>
        <cfvo type="percent" val="60"/>
      </iconSet>
    </cfRule>
  </conditionalFormatting>
  <conditionalFormatting sqref="L55:L72">
    <cfRule type="iconSet" priority="12">
      <iconSet>
        <cfvo type="percent" val="0"/>
        <cfvo type="percent" val="30"/>
        <cfvo type="percent" val="60"/>
      </iconSet>
    </cfRule>
  </conditionalFormatting>
  <conditionalFormatting sqref="L74:L87">
    <cfRule type="iconSet" priority="11">
      <iconSet>
        <cfvo type="percent" val="0"/>
        <cfvo type="percent" val="30"/>
        <cfvo type="percent" val="60"/>
      </iconSet>
    </cfRule>
  </conditionalFormatting>
  <conditionalFormatting sqref="L89:L92">
    <cfRule type="iconSet" priority="10">
      <iconSet>
        <cfvo type="percent" val="0"/>
        <cfvo type="percent" val="30"/>
        <cfvo type="percent" val="60"/>
      </iconSet>
    </cfRule>
  </conditionalFormatting>
  <conditionalFormatting sqref="L94:L101">
    <cfRule type="iconSet" priority="9">
      <iconSet>
        <cfvo type="percent" val="0"/>
        <cfvo type="percent" val="30"/>
        <cfvo type="percent" val="60"/>
      </iconSet>
    </cfRule>
  </conditionalFormatting>
  <conditionalFormatting sqref="L103 L105:L109">
    <cfRule type="iconSet" priority="8">
      <iconSet>
        <cfvo type="percent" val="0"/>
        <cfvo type="percent" val="30"/>
        <cfvo type="percent" val="60"/>
      </iconSet>
    </cfRule>
  </conditionalFormatting>
  <conditionalFormatting sqref="L111:L115">
    <cfRule type="iconSet" priority="7">
      <iconSet>
        <cfvo type="percent" val="0"/>
        <cfvo type="percent" val="30"/>
        <cfvo type="percent" val="60"/>
      </iconSet>
    </cfRule>
  </conditionalFormatting>
  <conditionalFormatting sqref="L218:L228">
    <cfRule type="iconSet" priority="5">
      <iconSet>
        <cfvo type="percent" val="0"/>
        <cfvo type="percent" val="33"/>
        <cfvo type="percent" val="67"/>
      </iconSet>
    </cfRule>
  </conditionalFormatting>
  <conditionalFormatting sqref="F156:F164">
    <cfRule type="iconSet" priority="3">
      <iconSet iconSet="3Symbols">
        <cfvo type="percent" val="0"/>
        <cfvo type="num" val="0"/>
        <cfvo type="num" val="0" gte="0"/>
      </iconSet>
    </cfRule>
  </conditionalFormatting>
  <conditionalFormatting sqref="F155">
    <cfRule type="iconSet" priority="2">
      <iconSet iconSet="3Symbols">
        <cfvo type="percent" val="0"/>
        <cfvo type="num" val="0"/>
        <cfvo type="num" val="0" gte="0"/>
      </iconSet>
    </cfRule>
  </conditionalFormatting>
  <conditionalFormatting sqref="F36">
    <cfRule type="iconSet" priority="1">
      <iconSet iconSet="3Symbols">
        <cfvo type="percent" val="0"/>
        <cfvo type="num" val="0"/>
        <cfvo type="num" val="0" gte="0"/>
      </iconSet>
    </cfRule>
  </conditionalFormatting>
  <conditionalFormatting sqref="H166:H196">
    <cfRule type="iconSet" priority="68">
      <iconSet>
        <cfvo type="percent" val="0"/>
        <cfvo type="num" val="0"/>
        <cfvo type="num" val="1"/>
      </iconSet>
    </cfRule>
  </conditionalFormatting>
  <conditionalFormatting sqref="F166:F196">
    <cfRule type="iconSet" priority="70">
      <iconSet iconSet="3Symbols">
        <cfvo type="percent" val="0"/>
        <cfvo type="num" val="0"/>
        <cfvo type="num" val="0" gte="0"/>
      </iconSet>
    </cfRule>
  </conditionalFormatting>
  <conditionalFormatting sqref="L166:L196">
    <cfRule type="iconSet" priority="72">
      <iconSet>
        <cfvo type="percent" val="0"/>
        <cfvo type="percent" val="30"/>
        <cfvo type="percent" val="60"/>
      </iconSet>
    </cfRule>
  </conditionalFormatting>
  <conditionalFormatting sqref="H136:H164 H55:H72 H27 H29 H31:H53 H81">
    <cfRule type="iconSet" priority="73">
      <iconSet>
        <cfvo type="percent" val="0"/>
        <cfvo type="num" val="0"/>
        <cfvo type="num" val="1"/>
      </iconSet>
    </cfRule>
  </conditionalFormatting>
  <conditionalFormatting sqref="L136:L164 L104 L117:L134">
    <cfRule type="iconSet" priority="79">
      <iconSet>
        <cfvo type="percent" val="0"/>
        <cfvo type="percent" val="30"/>
        <cfvo type="percent" val="60"/>
      </iconSet>
    </cfRule>
  </conditionalFormatting>
  <conditionalFormatting sqref="F138:F149">
    <cfRule type="iconSet" priority="84">
      <iconSet iconSet="3Symbols">
        <cfvo type="percent" val="0"/>
        <cfvo type="num" val="0"/>
        <cfvo type="num" val="0" gte="0"/>
      </iconSet>
    </cfRule>
  </conditionalFormatting>
  <conditionalFormatting sqref="F31:F35 F37:F53">
    <cfRule type="iconSet" priority="92">
      <iconSet iconSet="3Symbols">
        <cfvo type="percent" val="0"/>
        <cfvo type="num" val="0"/>
        <cfvo type="num" val="0" gte="0"/>
      </iconSet>
    </cfRule>
  </conditionalFormatting>
  <conditionalFormatting sqref="H89:H92 H23:H26 H28 H74:H80 H94:H101 H103:H109 H111:H115 H82:H87 H117:H134">
    <cfRule type="iconSet" priority="93">
      <iconSet>
        <cfvo type="percent" val="0"/>
        <cfvo type="num" val="0"/>
        <cfvo type="num" val="1"/>
      </iconSet>
    </cfRule>
  </conditionalFormatting>
  <conditionalFormatting sqref="F117:F134">
    <cfRule type="iconSet" priority="103">
      <iconSet iconSet="3Symbols">
        <cfvo type="percent" val="0"/>
        <cfvo type="num" val="0"/>
        <cfvo type="num" val="0" gte="0"/>
      </iconSet>
    </cfRule>
  </conditionalFormatting>
  <pageMargins left="0.7" right="0.7" top="0.75" bottom="0.75" header="0.3" footer="0.3"/>
  <pageSetup paperSize="8" scale="44" fitToHeight="0" orientation="portrait" r:id="rId1"/>
  <drawing r:id="rId2"/>
  <legacyDrawing r:id="rId3"/>
  <extLst>
    <ext xmlns:x14="http://schemas.microsoft.com/office/spreadsheetml/2009/9/main" uri="{CCE6A557-97BC-4b89-ADB6-D9C93CAAB3DF}">
      <x14:dataValidations xmlns:xm="http://schemas.microsoft.com/office/excel/2006/main" disablePrompts="1" count="2">
        <x14:dataValidation type="list" xr:uid="{C939C0BA-52E2-4D29-B1A5-E4270827CE3E}">
          <x14:formula1>
            <xm:f>'file:///G:\AREAS\1.- GESTION DE MANTENIMIENTO SIEMENS\QMiP SIEMENS PUERTO\01. Planificación\02. Mantencion Largo Plazo\1. Mantenciones LP 2019\11-Noviembre\MANT SEMESTRAL FL003\1 MATRIZ DE INTERVENCION\[Matriz de riesgo FL003-SD1976(sem44).xlsm]Data'!#REF!</xm:f>
          </x14:formula1>
          <xm:sqref>H166:H196 H230:H238 H18:H29 H74:H87 H55:H72 H31:H53 H89:H92 H94:H101 H103:H109 H111:H115 H218:H228 H198:H216 H136:H164 H117:H134</xm:sqref>
        </x14:dataValidation>
        <x14:dataValidation type="list" xr:uid="{8B0D36A9-D74E-4EA2-849A-EB2FDDD2926F}">
          <x14:formula1>
            <xm:f>'file:///G:\AREAS\1.- GESTION DE MANTENIMIENTO SIEMENS\QMiP SIEMENS PUERTO\01. Planificación\02. Mantencion Largo Plazo\1. Mantenciones LP 2019\11-Noviembre\MANT SEMESTRAL FL003\1 MATRIZ DE INTERVENCION\[Matriz de riesgo FL003-SD1976(sem44).xlsm]Activo'!#REF!</xm:f>
          </x14:formula1>
          <xm:sqref>J7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19CC0-9DD5-4E3E-9F29-D431E035DC63}">
  <dimension ref="A1:Q187"/>
  <sheetViews>
    <sheetView zoomScale="70" zoomScaleNormal="70" workbookViewId="0">
      <selection activeCell="G29" sqref="G29"/>
    </sheetView>
  </sheetViews>
  <sheetFormatPr baseColWidth="10" defaultColWidth="11.42578125" defaultRowHeight="15.75" x14ac:dyDescent="0.25"/>
  <cols>
    <col min="1" max="1" width="2" style="312" customWidth="1"/>
    <col min="2" max="2" width="10.42578125" style="346" customWidth="1"/>
    <col min="3" max="3" width="13.85546875" style="346" customWidth="1"/>
    <col min="4" max="4" width="11.5703125" style="346" customWidth="1"/>
    <col min="5" max="5" width="14.5703125" style="346" customWidth="1"/>
    <col min="6" max="6" width="13.5703125" style="312" customWidth="1"/>
    <col min="7" max="7" width="57.28515625" style="386" customWidth="1"/>
    <col min="8" max="8" width="10.140625" style="386" customWidth="1"/>
    <col min="9" max="9" width="8.5703125" style="312" customWidth="1"/>
    <col min="10" max="10" width="8.5703125" style="387" customWidth="1"/>
    <col min="11" max="11" width="15.5703125" style="312" customWidth="1"/>
    <col min="12" max="12" width="16.5703125" style="388" customWidth="1"/>
    <col min="13" max="13" width="17.85546875" style="312" customWidth="1"/>
    <col min="14" max="14" width="44.42578125" style="312" customWidth="1"/>
    <col min="15" max="15" width="32.42578125" style="312" customWidth="1"/>
    <col min="16" max="16" width="12.5703125" style="352" customWidth="1"/>
    <col min="17" max="16384" width="11.42578125" style="312"/>
  </cols>
  <sheetData>
    <row r="1" spans="1:17" s="304" customFormat="1" ht="15.75" customHeight="1" thickTop="1" thickBot="1" x14ac:dyDescent="0.3">
      <c r="A1" s="477"/>
      <c r="B1" s="478"/>
      <c r="C1" s="478"/>
      <c r="D1" s="478"/>
      <c r="E1" s="478"/>
      <c r="F1" s="301"/>
      <c r="G1" s="483" t="s">
        <v>492</v>
      </c>
      <c r="H1" s="483"/>
      <c r="I1" s="483"/>
      <c r="J1" s="483"/>
      <c r="K1" s="483"/>
      <c r="L1" s="483"/>
      <c r="M1" s="483"/>
      <c r="N1" s="483"/>
      <c r="O1" s="302"/>
      <c r="P1" s="303"/>
    </row>
    <row r="2" spans="1:17" s="304" customFormat="1" ht="15" customHeight="1" thickTop="1" thickBot="1" x14ac:dyDescent="0.3">
      <c r="A2" s="479"/>
      <c r="B2" s="480"/>
      <c r="C2" s="480"/>
      <c r="D2" s="480"/>
      <c r="E2" s="480"/>
      <c r="F2" s="305"/>
      <c r="G2" s="483"/>
      <c r="H2" s="483"/>
      <c r="I2" s="483"/>
      <c r="J2" s="483"/>
      <c r="K2" s="483"/>
      <c r="L2" s="483"/>
      <c r="M2" s="483"/>
      <c r="N2" s="483"/>
      <c r="O2" s="303"/>
      <c r="P2" s="303"/>
    </row>
    <row r="3" spans="1:17" s="304" customFormat="1" ht="15" customHeight="1" thickTop="1" thickBot="1" x14ac:dyDescent="0.3">
      <c r="A3" s="479"/>
      <c r="B3" s="480"/>
      <c r="C3" s="480"/>
      <c r="D3" s="480"/>
      <c r="E3" s="480"/>
      <c r="F3" s="305"/>
      <c r="G3" s="483"/>
      <c r="H3" s="483"/>
      <c r="I3" s="483"/>
      <c r="J3" s="483"/>
      <c r="K3" s="483"/>
      <c r="L3" s="483"/>
      <c r="M3" s="483"/>
      <c r="N3" s="483"/>
      <c r="O3" s="303"/>
      <c r="P3" s="303"/>
    </row>
    <row r="4" spans="1:17" s="304" customFormat="1" ht="16.5" thickTop="1" thickBot="1" x14ac:dyDescent="0.3">
      <c r="A4" s="479"/>
      <c r="B4" s="480"/>
      <c r="C4" s="480"/>
      <c r="D4" s="480"/>
      <c r="E4" s="480"/>
      <c r="F4" s="306" t="s">
        <v>464</v>
      </c>
      <c r="G4" s="307" t="s">
        <v>471</v>
      </c>
      <c r="H4" s="307"/>
      <c r="I4" s="307"/>
      <c r="J4" s="307"/>
      <c r="K4" s="307"/>
      <c r="L4" s="308"/>
      <c r="M4" s="303"/>
      <c r="N4" s="303"/>
      <c r="O4" s="303"/>
      <c r="P4" s="303"/>
    </row>
    <row r="5" spans="1:17" s="304" customFormat="1" ht="17.25" thickTop="1" thickBot="1" x14ac:dyDescent="0.3">
      <c r="A5" s="481"/>
      <c r="B5" s="482"/>
      <c r="C5" s="482"/>
      <c r="D5" s="482"/>
      <c r="E5" s="482"/>
      <c r="F5" s="309" t="s">
        <v>465</v>
      </c>
      <c r="G5" s="309" t="s">
        <v>520</v>
      </c>
      <c r="H5" s="309"/>
      <c r="I5" s="310"/>
      <c r="J5" s="310"/>
      <c r="K5" s="303"/>
      <c r="L5" s="311"/>
      <c r="M5" s="303"/>
      <c r="N5" s="303"/>
      <c r="O5" s="303"/>
      <c r="P5" s="303"/>
    </row>
    <row r="6" spans="1:17" ht="18" thickTop="1" x14ac:dyDescent="0.25">
      <c r="B6" s="313"/>
      <c r="C6" s="313"/>
      <c r="D6" s="313"/>
      <c r="E6" s="313"/>
      <c r="F6" s="313"/>
      <c r="G6" s="313"/>
      <c r="H6" s="313"/>
      <c r="I6" s="313"/>
      <c r="J6" s="313"/>
      <c r="K6" s="313"/>
      <c r="L6" s="313"/>
      <c r="M6" s="313"/>
      <c r="N6" s="313"/>
      <c r="O6" s="313"/>
      <c r="P6" s="314"/>
    </row>
    <row r="7" spans="1:17" ht="19.5" customHeight="1" x14ac:dyDescent="0.25">
      <c r="B7" s="484" t="s">
        <v>488</v>
      </c>
      <c r="C7" s="485"/>
      <c r="D7" s="485"/>
      <c r="E7" s="485"/>
      <c r="F7" s="485"/>
      <c r="G7" s="315">
        <v>44819</v>
      </c>
      <c r="H7" s="316"/>
      <c r="I7" s="69"/>
      <c r="J7" s="75"/>
      <c r="K7" s="75"/>
      <c r="L7" s="317"/>
      <c r="M7" s="318"/>
      <c r="N7" s="319" t="s">
        <v>302</v>
      </c>
      <c r="O7" s="486" t="s">
        <v>303</v>
      </c>
      <c r="P7" s="486"/>
      <c r="Q7" s="320"/>
    </row>
    <row r="8" spans="1:17" ht="22.5" customHeight="1" x14ac:dyDescent="0.25">
      <c r="B8" s="487" t="s">
        <v>305</v>
      </c>
      <c r="C8" s="488"/>
      <c r="D8" s="488"/>
      <c r="E8" s="488"/>
      <c r="F8" s="488"/>
      <c r="G8" s="321" t="s">
        <v>349</v>
      </c>
      <c r="H8" s="322"/>
      <c r="I8" s="78"/>
      <c r="J8" s="79"/>
      <c r="K8" s="79"/>
      <c r="L8" s="489" t="str">
        <f>G17</f>
        <v>REPUESTOS ELECTRICOS</v>
      </c>
      <c r="M8" s="490"/>
      <c r="N8" s="323">
        <f>M17*0.5</f>
        <v>0.24000000000000005</v>
      </c>
      <c r="O8" s="324">
        <f ca="1">P17*0.5</f>
        <v>0.5</v>
      </c>
      <c r="P8" s="325" t="s">
        <v>304</v>
      </c>
      <c r="Q8" s="326"/>
    </row>
    <row r="9" spans="1:17" ht="25.5" customHeight="1" x14ac:dyDescent="0.25">
      <c r="B9" s="487" t="s">
        <v>306</v>
      </c>
      <c r="C9" s="488"/>
      <c r="D9" s="488"/>
      <c r="E9" s="488"/>
      <c r="F9" s="488" t="s">
        <v>452</v>
      </c>
      <c r="G9" s="327"/>
      <c r="H9" s="328"/>
      <c r="I9" s="78"/>
      <c r="J9" s="79"/>
      <c r="K9" s="79"/>
      <c r="L9" s="489" t="str">
        <f>G40</f>
        <v xml:space="preserve">REPUESTOS ELECTRICOS FEEDER FILTROS </v>
      </c>
      <c r="M9" s="490"/>
      <c r="N9" s="329">
        <f>M40*0.5</f>
        <v>0</v>
      </c>
      <c r="O9" s="330">
        <f ca="1">P17*0.5</f>
        <v>0.5</v>
      </c>
      <c r="P9" s="331" t="s">
        <v>304</v>
      </c>
    </row>
    <row r="10" spans="1:17" ht="24" customHeight="1" x14ac:dyDescent="0.25">
      <c r="B10" s="487" t="s">
        <v>307</v>
      </c>
      <c r="C10" s="488"/>
      <c r="D10" s="488"/>
      <c r="E10" s="488"/>
      <c r="F10" s="488" t="s">
        <v>433</v>
      </c>
      <c r="G10" s="327"/>
      <c r="H10" s="332"/>
      <c r="I10" s="78"/>
      <c r="J10" s="79"/>
      <c r="K10" s="79"/>
      <c r="L10" s="491"/>
      <c r="M10" s="490"/>
      <c r="N10" s="329"/>
      <c r="O10" s="330"/>
      <c r="P10" s="331"/>
    </row>
    <row r="11" spans="1:17" ht="31.9" customHeight="1" x14ac:dyDescent="0.25">
      <c r="B11" s="487" t="s">
        <v>308</v>
      </c>
      <c r="C11" s="488"/>
      <c r="D11" s="488"/>
      <c r="E11" s="488"/>
      <c r="F11" s="488" t="s">
        <v>451</v>
      </c>
      <c r="G11" s="327" t="str">
        <f>'[3]MATRIZ REPUESTOS MECANICOS'!G11</f>
        <v xml:space="preserve">MANTENCION SEMESTRAL FILTRO PRENSA </v>
      </c>
      <c r="H11" s="332"/>
      <c r="I11" s="78"/>
      <c r="J11" s="79"/>
      <c r="K11" s="79"/>
      <c r="L11" s="491"/>
      <c r="M11" s="490"/>
      <c r="N11" s="329"/>
      <c r="O11" s="330"/>
      <c r="P11" s="331"/>
    </row>
    <row r="12" spans="1:17" ht="19.5" thickBot="1" x14ac:dyDescent="0.3">
      <c r="B12" s="487" t="s">
        <v>309</v>
      </c>
      <c r="C12" s="488"/>
      <c r="D12" s="488"/>
      <c r="E12" s="488"/>
      <c r="F12" s="488">
        <f ca="1">TODAY()</f>
        <v>46163</v>
      </c>
      <c r="G12" s="333">
        <f ca="1">TODAY()</f>
        <v>46163</v>
      </c>
      <c r="H12" s="332"/>
      <c r="I12" s="78"/>
      <c r="J12" s="79"/>
      <c r="K12" s="79"/>
      <c r="L12" s="491"/>
      <c r="M12" s="490"/>
      <c r="N12" s="334"/>
      <c r="O12" s="335"/>
      <c r="P12" s="336"/>
    </row>
    <row r="13" spans="1:17" ht="18.75" x14ac:dyDescent="0.25">
      <c r="B13" s="487" t="s">
        <v>430</v>
      </c>
      <c r="C13" s="488"/>
      <c r="D13" s="488"/>
      <c r="E13" s="488"/>
      <c r="F13" s="488" t="e">
        <f>[4]!HAZOP[Codigo]</f>
        <v>#REF!</v>
      </c>
      <c r="G13" s="337"/>
      <c r="H13" s="338"/>
      <c r="I13" s="78"/>
      <c r="J13" s="79"/>
      <c r="K13" s="79"/>
      <c r="L13" s="339"/>
      <c r="M13" s="340"/>
      <c r="N13" s="341"/>
      <c r="O13" s="341"/>
      <c r="P13" s="326"/>
    </row>
    <row r="14" spans="1:17" ht="18.75" x14ac:dyDescent="0.3">
      <c r="B14" s="342"/>
      <c r="C14" s="342"/>
      <c r="D14" s="342"/>
      <c r="E14" s="342"/>
      <c r="F14" s="342"/>
      <c r="G14" s="343"/>
      <c r="H14" s="338"/>
      <c r="I14" s="78"/>
      <c r="J14" s="79"/>
      <c r="K14" s="79"/>
      <c r="L14" s="344" t="s">
        <v>310</v>
      </c>
      <c r="M14" s="344"/>
      <c r="N14" s="200">
        <f>SUM(N8:N12)</f>
        <v>0.24000000000000005</v>
      </c>
      <c r="O14" s="201">
        <f ca="1">SUM(O8:O12)</f>
        <v>1</v>
      </c>
      <c r="P14" s="345" t="s">
        <v>304</v>
      </c>
    </row>
    <row r="15" spans="1:17" ht="17.25" x14ac:dyDescent="0.25">
      <c r="F15" s="347"/>
      <c r="G15" s="348"/>
      <c r="H15" s="348"/>
      <c r="I15" s="69"/>
      <c r="J15" s="75"/>
      <c r="K15" s="349"/>
      <c r="L15" s="350"/>
      <c r="M15" s="351"/>
      <c r="N15" s="351"/>
      <c r="O15" s="326"/>
    </row>
    <row r="16" spans="1:17" ht="37.5" x14ac:dyDescent="0.25">
      <c r="B16" s="353" t="s">
        <v>0</v>
      </c>
      <c r="C16" s="354" t="s">
        <v>335</v>
      </c>
      <c r="D16" s="354" t="s">
        <v>320</v>
      </c>
      <c r="E16" s="354" t="s">
        <v>319</v>
      </c>
      <c r="F16" s="354" t="s">
        <v>490</v>
      </c>
      <c r="G16" s="355" t="s">
        <v>450</v>
      </c>
      <c r="H16" s="356" t="s">
        <v>333</v>
      </c>
      <c r="I16" s="356" t="s">
        <v>311</v>
      </c>
      <c r="J16" s="356" t="s">
        <v>312</v>
      </c>
      <c r="K16" s="356" t="s">
        <v>313</v>
      </c>
      <c r="L16" s="356" t="s">
        <v>314</v>
      </c>
      <c r="M16" s="357" t="s">
        <v>315</v>
      </c>
      <c r="N16" s="356" t="s">
        <v>316</v>
      </c>
      <c r="O16" s="356" t="s">
        <v>317</v>
      </c>
      <c r="P16" s="356" t="s">
        <v>318</v>
      </c>
    </row>
    <row r="17" spans="2:16" ht="30" x14ac:dyDescent="0.25">
      <c r="B17" s="260">
        <v>1.1000000000000001</v>
      </c>
      <c r="C17" s="358" t="s">
        <v>335</v>
      </c>
      <c r="D17" s="359" t="s">
        <v>320</v>
      </c>
      <c r="E17" s="358" t="s">
        <v>319</v>
      </c>
      <c r="F17" s="358" t="s">
        <v>453</v>
      </c>
      <c r="G17" s="360" t="s">
        <v>439</v>
      </c>
      <c r="H17" s="360" t="s">
        <v>333</v>
      </c>
      <c r="I17" s="261">
        <f>SUM(I18:I39)</f>
        <v>1</v>
      </c>
      <c r="J17" s="360" t="s">
        <v>299</v>
      </c>
      <c r="K17" s="360" t="s">
        <v>339</v>
      </c>
      <c r="L17" s="261">
        <f>AVERAGE(L18:L39)</f>
        <v>0.10909090909090911</v>
      </c>
      <c r="M17" s="261">
        <f>SUM(M18:M39)</f>
        <v>0.48000000000000009</v>
      </c>
      <c r="N17" s="360" t="s">
        <v>340</v>
      </c>
      <c r="O17" s="360" t="s">
        <v>321</v>
      </c>
      <c r="P17" s="261">
        <f ca="1">SUM(P18:P39)</f>
        <v>1</v>
      </c>
    </row>
    <row r="18" spans="2:16" x14ac:dyDescent="0.25">
      <c r="B18" s="361" t="s">
        <v>377</v>
      </c>
      <c r="C18" s="451">
        <v>401315</v>
      </c>
      <c r="D18" s="362">
        <f>IFERROR(VLOOKUP(C18,Tabla_APL[[STOCKCODE]:[TYPE]],3,FALSE),"")</f>
        <v>7</v>
      </c>
      <c r="E18" s="362">
        <v>4</v>
      </c>
      <c r="F18" s="363">
        <f t="shared" ref="F18:F39" si="0">D18-E18</f>
        <v>3</v>
      </c>
      <c r="G18" s="446" t="s">
        <v>1601</v>
      </c>
      <c r="H18" s="182">
        <v>0</v>
      </c>
      <c r="I18" s="365">
        <f t="shared" ref="I18:I39" si="1">IF(H18=1,1/SUM(H$18:H$39),0)</f>
        <v>0</v>
      </c>
      <c r="J18" s="366">
        <v>40</v>
      </c>
      <c r="K18" s="367">
        <f t="shared" ref="K18:K39" si="2">$G$7-J18</f>
        <v>44779</v>
      </c>
      <c r="L18" s="368">
        <v>0</v>
      </c>
      <c r="M18" s="369">
        <f t="shared" ref="M18:M39" si="3">I18*L18</f>
        <v>0</v>
      </c>
      <c r="N18" s="370"/>
      <c r="O18" s="371"/>
      <c r="P18" s="372">
        <f t="shared" ref="P18:P39" ca="1" si="4">(IF(K18&lt;=TODAY(),1,0))*I18</f>
        <v>0</v>
      </c>
    </row>
    <row r="19" spans="2:16" ht="31.5" x14ac:dyDescent="0.25">
      <c r="B19" s="373" t="s">
        <v>396</v>
      </c>
      <c r="C19" s="452">
        <v>743701</v>
      </c>
      <c r="D19" s="362">
        <f>IFERROR(VLOOKUP(C19,Tabla_APL[[STOCKCODE]:[TYPE]],3,FALSE),"")</f>
        <v>10</v>
      </c>
      <c r="E19" s="375">
        <v>10</v>
      </c>
      <c r="F19" s="376">
        <f t="shared" si="0"/>
        <v>0</v>
      </c>
      <c r="G19" s="446" t="s">
        <v>1602</v>
      </c>
      <c r="H19" s="182">
        <v>0</v>
      </c>
      <c r="I19" s="378">
        <f t="shared" si="1"/>
        <v>0</v>
      </c>
      <c r="J19" s="379">
        <v>40</v>
      </c>
      <c r="K19" s="380">
        <f t="shared" si="2"/>
        <v>44779</v>
      </c>
      <c r="L19" s="368">
        <v>0</v>
      </c>
      <c r="M19" s="381">
        <f t="shared" si="3"/>
        <v>0</v>
      </c>
      <c r="N19" s="382"/>
      <c r="O19" s="379"/>
      <c r="P19" s="378">
        <f t="shared" ca="1" si="4"/>
        <v>0</v>
      </c>
    </row>
    <row r="20" spans="2:16" x14ac:dyDescent="0.25">
      <c r="B20" s="361" t="s">
        <v>397</v>
      </c>
      <c r="C20" s="107">
        <v>358283</v>
      </c>
      <c r="D20" s="362">
        <f>IFERROR(VLOOKUP(C20,Tabla_APL[[STOCKCODE]:[TYPE]],3,FALSE),"")</f>
        <v>8</v>
      </c>
      <c r="E20" s="362">
        <v>4</v>
      </c>
      <c r="F20" s="363">
        <f t="shared" si="0"/>
        <v>4</v>
      </c>
      <c r="G20" s="446" t="s">
        <v>1603</v>
      </c>
      <c r="H20" s="182">
        <v>0</v>
      </c>
      <c r="I20" s="365">
        <f t="shared" si="1"/>
        <v>0</v>
      </c>
      <c r="J20" s="366">
        <v>40</v>
      </c>
      <c r="K20" s="367">
        <f t="shared" si="2"/>
        <v>44779</v>
      </c>
      <c r="L20" s="368">
        <v>0</v>
      </c>
      <c r="M20" s="369">
        <f t="shared" si="3"/>
        <v>0</v>
      </c>
      <c r="N20" s="370"/>
      <c r="O20" s="371"/>
      <c r="P20" s="372">
        <f t="shared" ca="1" si="4"/>
        <v>0</v>
      </c>
    </row>
    <row r="21" spans="2:16" x14ac:dyDescent="0.25">
      <c r="B21" s="373" t="s">
        <v>398</v>
      </c>
      <c r="C21" s="107">
        <v>127704</v>
      </c>
      <c r="D21" s="362">
        <f>IFERROR(VLOOKUP(C21,Tabla_APL[[STOCKCODE]:[TYPE]],3,FALSE),"")</f>
        <v>41</v>
      </c>
      <c r="E21" s="375">
        <v>9</v>
      </c>
      <c r="F21" s="376">
        <f t="shared" si="0"/>
        <v>32</v>
      </c>
      <c r="G21" s="446" t="s">
        <v>1258</v>
      </c>
      <c r="H21" s="182">
        <v>0</v>
      </c>
      <c r="I21" s="378">
        <f t="shared" si="1"/>
        <v>0</v>
      </c>
      <c r="J21" s="379">
        <v>40</v>
      </c>
      <c r="K21" s="380">
        <f t="shared" si="2"/>
        <v>44779</v>
      </c>
      <c r="L21" s="368">
        <v>0</v>
      </c>
      <c r="M21" s="381">
        <f t="shared" si="3"/>
        <v>0</v>
      </c>
      <c r="N21" s="382"/>
      <c r="O21" s="379"/>
      <c r="P21" s="378">
        <f t="shared" ca="1" si="4"/>
        <v>0</v>
      </c>
    </row>
    <row r="22" spans="2:16" ht="31.5" x14ac:dyDescent="0.25">
      <c r="B22" s="361" t="s">
        <v>399</v>
      </c>
      <c r="C22" s="453">
        <v>453944</v>
      </c>
      <c r="D22" s="362">
        <f>IFERROR(VLOOKUP(C22,Tabla_APL[[STOCKCODE]:[TYPE]],3,FALSE),"")</f>
        <v>2</v>
      </c>
      <c r="E22" s="362">
        <v>1</v>
      </c>
      <c r="F22" s="363">
        <f t="shared" si="0"/>
        <v>1</v>
      </c>
      <c r="G22" s="446" t="s">
        <v>1604</v>
      </c>
      <c r="H22" s="182">
        <v>0</v>
      </c>
      <c r="I22" s="365">
        <f t="shared" si="1"/>
        <v>0</v>
      </c>
      <c r="J22" s="366">
        <v>40</v>
      </c>
      <c r="K22" s="367">
        <f t="shared" si="2"/>
        <v>44779</v>
      </c>
      <c r="L22" s="368">
        <v>0</v>
      </c>
      <c r="M22" s="369">
        <f t="shared" si="3"/>
        <v>0</v>
      </c>
      <c r="N22" s="370"/>
      <c r="O22" s="371"/>
      <c r="P22" s="372">
        <f t="shared" ca="1" si="4"/>
        <v>0</v>
      </c>
    </row>
    <row r="23" spans="2:16" ht="31.5" x14ac:dyDescent="0.25">
      <c r="B23" s="373" t="s">
        <v>400</v>
      </c>
      <c r="C23" s="453">
        <v>453951</v>
      </c>
      <c r="D23" s="362">
        <f>IFERROR(VLOOKUP(C23,Tabla_APL[[STOCKCODE]:[TYPE]],3,FALSE),"")</f>
        <v>9</v>
      </c>
      <c r="E23" s="375">
        <v>1</v>
      </c>
      <c r="F23" s="376">
        <f t="shared" si="0"/>
        <v>8</v>
      </c>
      <c r="G23" s="446" t="s">
        <v>1605</v>
      </c>
      <c r="H23" s="182">
        <v>0</v>
      </c>
      <c r="I23" s="378">
        <f t="shared" si="1"/>
        <v>0</v>
      </c>
      <c r="J23" s="379">
        <v>40</v>
      </c>
      <c r="K23" s="380">
        <f t="shared" si="2"/>
        <v>44779</v>
      </c>
      <c r="L23" s="368">
        <v>0</v>
      </c>
      <c r="M23" s="381">
        <f t="shared" si="3"/>
        <v>0</v>
      </c>
      <c r="N23" s="382"/>
      <c r="O23" s="379"/>
      <c r="P23" s="378">
        <f t="shared" ca="1" si="4"/>
        <v>0</v>
      </c>
    </row>
    <row r="24" spans="2:16" x14ac:dyDescent="0.25">
      <c r="B24" s="361" t="s">
        <v>401</v>
      </c>
      <c r="C24" s="454">
        <v>449686</v>
      </c>
      <c r="D24" s="362">
        <f>IFERROR(VLOOKUP(C24,Tabla_APL[[STOCKCODE]:[TYPE]],3,FALSE),"")</f>
        <v>0</v>
      </c>
      <c r="E24" s="362">
        <v>4</v>
      </c>
      <c r="F24" s="363">
        <f t="shared" si="0"/>
        <v>-4</v>
      </c>
      <c r="G24" s="446" t="s">
        <v>1606</v>
      </c>
      <c r="H24" s="182">
        <v>0</v>
      </c>
      <c r="I24" s="365">
        <f t="shared" si="1"/>
        <v>0</v>
      </c>
      <c r="J24" s="366">
        <v>40</v>
      </c>
      <c r="K24" s="367">
        <f t="shared" si="2"/>
        <v>44779</v>
      </c>
      <c r="L24" s="368">
        <v>0</v>
      </c>
      <c r="M24" s="369">
        <f t="shared" si="3"/>
        <v>0</v>
      </c>
      <c r="N24" s="370"/>
      <c r="O24" s="371"/>
      <c r="P24" s="372">
        <f t="shared" ca="1" si="4"/>
        <v>0</v>
      </c>
    </row>
    <row r="25" spans="2:16" x14ac:dyDescent="0.25">
      <c r="B25" s="373" t="s">
        <v>402</v>
      </c>
      <c r="C25" s="107">
        <v>741009</v>
      </c>
      <c r="D25" s="362">
        <f>IFERROR(VLOOKUP(C25,Tabla_APL[[STOCKCODE]:[TYPE]],3,FALSE),"")</f>
        <v>1</v>
      </c>
      <c r="E25" s="375">
        <v>4</v>
      </c>
      <c r="F25" s="376">
        <f t="shared" si="0"/>
        <v>-3</v>
      </c>
      <c r="G25" s="447" t="s">
        <v>1607</v>
      </c>
      <c r="H25" s="182">
        <v>1</v>
      </c>
      <c r="I25" s="378">
        <f t="shared" si="1"/>
        <v>0.2</v>
      </c>
      <c r="J25" s="379">
        <v>40</v>
      </c>
      <c r="K25" s="380">
        <f t="shared" si="2"/>
        <v>44779</v>
      </c>
      <c r="L25" s="368">
        <v>0.8</v>
      </c>
      <c r="M25" s="381">
        <f t="shared" si="3"/>
        <v>0.16000000000000003</v>
      </c>
      <c r="N25" s="382"/>
      <c r="O25" s="379"/>
      <c r="P25" s="378">
        <f t="shared" ca="1" si="4"/>
        <v>0.2</v>
      </c>
    </row>
    <row r="26" spans="2:16" x14ac:dyDescent="0.25">
      <c r="B26" s="361" t="s">
        <v>403</v>
      </c>
      <c r="C26" s="455">
        <v>426965</v>
      </c>
      <c r="D26" s="362">
        <f>IFERROR(VLOOKUP(C26,Tabla_APL[[STOCKCODE]:[TYPE]],3,FALSE),"")</f>
        <v>38</v>
      </c>
      <c r="E26" s="362">
        <v>4</v>
      </c>
      <c r="F26" s="363">
        <f t="shared" si="0"/>
        <v>34</v>
      </c>
      <c r="G26" s="448" t="s">
        <v>1608</v>
      </c>
      <c r="H26" s="182">
        <v>0</v>
      </c>
      <c r="I26" s="365">
        <f t="shared" si="1"/>
        <v>0</v>
      </c>
      <c r="J26" s="366">
        <v>40</v>
      </c>
      <c r="K26" s="367">
        <f t="shared" si="2"/>
        <v>44779</v>
      </c>
      <c r="L26" s="368">
        <v>0</v>
      </c>
      <c r="M26" s="369">
        <f t="shared" si="3"/>
        <v>0</v>
      </c>
      <c r="N26" s="370"/>
      <c r="O26" s="371"/>
      <c r="P26" s="372">
        <f t="shared" ca="1" si="4"/>
        <v>0</v>
      </c>
    </row>
    <row r="27" spans="2:16" ht="15.75" customHeight="1" x14ac:dyDescent="0.25">
      <c r="B27" s="373" t="s">
        <v>404</v>
      </c>
      <c r="C27" s="455">
        <v>409243</v>
      </c>
      <c r="D27" s="362">
        <f>IFERROR(VLOOKUP(C27,Tabla_APL[[STOCKCODE]:[TYPE]],3,FALSE),"")</f>
        <v>6</v>
      </c>
      <c r="E27" s="375">
        <f>[5]Repuestos!F18</f>
        <v>3</v>
      </c>
      <c r="F27" s="376">
        <f t="shared" si="0"/>
        <v>3</v>
      </c>
      <c r="G27" s="448" t="s">
        <v>1609</v>
      </c>
      <c r="H27" s="182">
        <v>0</v>
      </c>
      <c r="I27" s="378">
        <f t="shared" si="1"/>
        <v>0</v>
      </c>
      <c r="J27" s="379">
        <v>40</v>
      </c>
      <c r="K27" s="380">
        <f t="shared" si="2"/>
        <v>44779</v>
      </c>
      <c r="L27" s="368">
        <v>0</v>
      </c>
      <c r="M27" s="381">
        <f t="shared" si="3"/>
        <v>0</v>
      </c>
      <c r="N27" s="382"/>
      <c r="O27" s="379"/>
      <c r="P27" s="378">
        <f t="shared" ca="1" si="4"/>
        <v>0</v>
      </c>
    </row>
    <row r="28" spans="2:16" x14ac:dyDescent="0.25">
      <c r="B28" s="361" t="s">
        <v>405</v>
      </c>
      <c r="C28" s="107">
        <v>504423</v>
      </c>
      <c r="D28" s="362">
        <f>IFERROR(VLOOKUP(C28,Tabla_APL[[STOCKCODE]:[TYPE]],3,FALSE),"")</f>
        <v>152</v>
      </c>
      <c r="E28" s="362">
        <f>[5]Repuestos!F19</f>
        <v>4</v>
      </c>
      <c r="F28" s="363">
        <f t="shared" si="0"/>
        <v>148</v>
      </c>
      <c r="G28" s="448" t="s">
        <v>1610</v>
      </c>
      <c r="H28" s="182">
        <v>0</v>
      </c>
      <c r="I28" s="365">
        <f t="shared" si="1"/>
        <v>0</v>
      </c>
      <c r="J28" s="366">
        <v>40</v>
      </c>
      <c r="K28" s="367">
        <f t="shared" si="2"/>
        <v>44779</v>
      </c>
      <c r="L28" s="368">
        <v>0</v>
      </c>
      <c r="M28" s="369">
        <f t="shared" si="3"/>
        <v>0</v>
      </c>
      <c r="N28" s="370"/>
      <c r="O28" s="371"/>
      <c r="P28" s="372">
        <f t="shared" ca="1" si="4"/>
        <v>0</v>
      </c>
    </row>
    <row r="29" spans="2:16" x14ac:dyDescent="0.25">
      <c r="B29" s="373" t="s">
        <v>406</v>
      </c>
      <c r="C29" s="455">
        <v>127639</v>
      </c>
      <c r="D29" s="362">
        <f>IFERROR(VLOOKUP(C29,Tabla_APL[[STOCKCODE]:[TYPE]],3,FALSE),"")</f>
        <v>4</v>
      </c>
      <c r="E29" s="375">
        <f>[5]Repuestos!F20</f>
        <v>1</v>
      </c>
      <c r="F29" s="376">
        <f t="shared" si="0"/>
        <v>3</v>
      </c>
      <c r="G29" s="449" t="s">
        <v>1611</v>
      </c>
      <c r="H29" s="182">
        <v>0</v>
      </c>
      <c r="I29" s="378">
        <f t="shared" si="1"/>
        <v>0</v>
      </c>
      <c r="J29" s="379">
        <v>40</v>
      </c>
      <c r="K29" s="380">
        <f t="shared" si="2"/>
        <v>44779</v>
      </c>
      <c r="L29" s="368">
        <v>0</v>
      </c>
      <c r="M29" s="381">
        <f t="shared" si="3"/>
        <v>0</v>
      </c>
      <c r="N29" s="382"/>
      <c r="O29" s="379"/>
      <c r="P29" s="378">
        <f t="shared" ca="1" si="4"/>
        <v>0</v>
      </c>
    </row>
    <row r="30" spans="2:16" x14ac:dyDescent="0.25">
      <c r="B30" s="361" t="s">
        <v>407</v>
      </c>
      <c r="C30" s="455">
        <v>407569</v>
      </c>
      <c r="D30" s="362">
        <f>IFERROR(VLOOKUP(C30,Tabla_APL[[STOCKCODE]:[TYPE]],3,FALSE),"")</f>
        <v>2</v>
      </c>
      <c r="E30" s="362">
        <f>[5]Repuestos!F21</f>
        <v>1</v>
      </c>
      <c r="F30" s="363">
        <f t="shared" si="0"/>
        <v>1</v>
      </c>
      <c r="G30" s="449" t="s">
        <v>1612</v>
      </c>
      <c r="H30" s="182">
        <v>1</v>
      </c>
      <c r="I30" s="365">
        <f t="shared" si="1"/>
        <v>0.2</v>
      </c>
      <c r="J30" s="366">
        <v>40</v>
      </c>
      <c r="K30" s="367">
        <f t="shared" si="2"/>
        <v>44779</v>
      </c>
      <c r="L30" s="368">
        <v>0.8</v>
      </c>
      <c r="M30" s="369">
        <f t="shared" si="3"/>
        <v>0.16000000000000003</v>
      </c>
      <c r="N30" s="370"/>
      <c r="O30" s="371"/>
      <c r="P30" s="372">
        <f t="shared" ca="1" si="4"/>
        <v>0.2</v>
      </c>
    </row>
    <row r="31" spans="2:16" x14ac:dyDescent="0.25">
      <c r="B31" s="373" t="s">
        <v>408</v>
      </c>
      <c r="C31" s="455">
        <v>159368</v>
      </c>
      <c r="D31" s="362">
        <f>IFERROR(VLOOKUP(C31,Tabla_APL[[STOCKCODE]:[TYPE]],3,FALSE),"")</f>
        <v>4</v>
      </c>
      <c r="E31" s="375">
        <f>[5]Repuestos!F22</f>
        <v>4</v>
      </c>
      <c r="F31" s="376">
        <f t="shared" si="0"/>
        <v>0</v>
      </c>
      <c r="G31" s="449" t="s">
        <v>1613</v>
      </c>
      <c r="H31" s="182">
        <v>1</v>
      </c>
      <c r="I31" s="378">
        <f t="shared" si="1"/>
        <v>0.2</v>
      </c>
      <c r="J31" s="379">
        <v>40</v>
      </c>
      <c r="K31" s="380">
        <f t="shared" si="2"/>
        <v>44779</v>
      </c>
      <c r="L31" s="368">
        <v>0.8</v>
      </c>
      <c r="M31" s="381">
        <f t="shared" si="3"/>
        <v>0.16000000000000003</v>
      </c>
      <c r="N31" s="382"/>
      <c r="O31" s="379"/>
      <c r="P31" s="378">
        <f t="shared" ca="1" si="4"/>
        <v>0.2</v>
      </c>
    </row>
    <row r="32" spans="2:16" x14ac:dyDescent="0.25">
      <c r="B32" s="361" t="s">
        <v>409</v>
      </c>
      <c r="C32" s="107">
        <v>6833</v>
      </c>
      <c r="D32" s="362">
        <f>IFERROR(VLOOKUP(C32,Tabla_APL[[STOCKCODE]:[TYPE]],3,FALSE),"")</f>
        <v>16</v>
      </c>
      <c r="E32" s="362">
        <f>[5]Repuestos!F23</f>
        <v>1</v>
      </c>
      <c r="F32" s="363">
        <f t="shared" si="0"/>
        <v>15</v>
      </c>
      <c r="G32" s="450" t="s">
        <v>1614</v>
      </c>
      <c r="H32" s="182">
        <v>0</v>
      </c>
      <c r="I32" s="365">
        <f t="shared" si="1"/>
        <v>0</v>
      </c>
      <c r="J32" s="366">
        <v>40</v>
      </c>
      <c r="K32" s="367">
        <f t="shared" si="2"/>
        <v>44779</v>
      </c>
      <c r="L32" s="368">
        <v>0</v>
      </c>
      <c r="M32" s="369">
        <f t="shared" si="3"/>
        <v>0</v>
      </c>
      <c r="N32" s="370"/>
      <c r="O32" s="371"/>
      <c r="P32" s="372">
        <f t="shared" ca="1" si="4"/>
        <v>0</v>
      </c>
    </row>
    <row r="33" spans="2:16" x14ac:dyDescent="0.25">
      <c r="B33" s="373" t="s">
        <v>410</v>
      </c>
      <c r="C33" s="107">
        <v>177899</v>
      </c>
      <c r="D33" s="362">
        <f>IFERROR(VLOOKUP(C33,Tabla_APL[[STOCKCODE]:[TYPE]],3,FALSE),"")</f>
        <v>2563</v>
      </c>
      <c r="E33" s="375">
        <f>[5]Repuestos!F24</f>
        <v>1</v>
      </c>
      <c r="F33" s="376">
        <f t="shared" si="0"/>
        <v>2562</v>
      </c>
      <c r="G33" s="446" t="s">
        <v>1615</v>
      </c>
      <c r="H33" s="182">
        <v>1</v>
      </c>
      <c r="I33" s="378">
        <f t="shared" si="1"/>
        <v>0.2</v>
      </c>
      <c r="J33" s="379">
        <v>40</v>
      </c>
      <c r="K33" s="380">
        <f t="shared" si="2"/>
        <v>44779</v>
      </c>
      <c r="L33" s="368">
        <v>0</v>
      </c>
      <c r="M33" s="381">
        <f t="shared" si="3"/>
        <v>0</v>
      </c>
      <c r="N33" s="382"/>
      <c r="O33" s="379"/>
      <c r="P33" s="378">
        <f t="shared" ca="1" si="4"/>
        <v>0.2</v>
      </c>
    </row>
    <row r="34" spans="2:16" x14ac:dyDescent="0.25">
      <c r="B34" s="361" t="s">
        <v>411</v>
      </c>
      <c r="C34" s="455">
        <v>145839</v>
      </c>
      <c r="D34" s="362">
        <f>IFERROR(VLOOKUP(C34,Tabla_APL[[STOCKCODE]:[TYPE]],3,FALSE),"")</f>
        <v>4</v>
      </c>
      <c r="E34" s="362">
        <f>[5]Repuestos!F25</f>
        <v>4</v>
      </c>
      <c r="F34" s="363">
        <f t="shared" si="0"/>
        <v>0</v>
      </c>
      <c r="G34" s="448" t="s">
        <v>437</v>
      </c>
      <c r="H34" s="182">
        <v>1</v>
      </c>
      <c r="I34" s="365">
        <f t="shared" si="1"/>
        <v>0.2</v>
      </c>
      <c r="J34" s="366">
        <v>40</v>
      </c>
      <c r="K34" s="367">
        <f t="shared" si="2"/>
        <v>44779</v>
      </c>
      <c r="L34" s="368">
        <v>0</v>
      </c>
      <c r="M34" s="369">
        <f t="shared" si="3"/>
        <v>0</v>
      </c>
      <c r="N34" s="370"/>
      <c r="O34" s="371"/>
      <c r="P34" s="372">
        <f t="shared" ca="1" si="4"/>
        <v>0.2</v>
      </c>
    </row>
    <row r="35" spans="2:16" x14ac:dyDescent="0.25">
      <c r="B35" s="373" t="s">
        <v>412</v>
      </c>
      <c r="C35" s="455">
        <v>127605</v>
      </c>
      <c r="D35" s="362">
        <f>IFERROR(VLOOKUP(C35,Tabla_APL[[STOCKCODE]:[TYPE]],3,FALSE),"")</f>
        <v>5</v>
      </c>
      <c r="E35" s="375">
        <f>[5]Repuestos!F26</f>
        <v>4</v>
      </c>
      <c r="F35" s="376">
        <f t="shared" si="0"/>
        <v>1</v>
      </c>
      <c r="G35" s="448" t="s">
        <v>1477</v>
      </c>
      <c r="H35" s="182">
        <v>0</v>
      </c>
      <c r="I35" s="378">
        <f t="shared" si="1"/>
        <v>0</v>
      </c>
      <c r="J35" s="379">
        <v>40</v>
      </c>
      <c r="K35" s="380">
        <f t="shared" si="2"/>
        <v>44779</v>
      </c>
      <c r="L35" s="368">
        <v>0</v>
      </c>
      <c r="M35" s="381">
        <f t="shared" si="3"/>
        <v>0</v>
      </c>
      <c r="N35" s="382"/>
      <c r="O35" s="379"/>
      <c r="P35" s="378">
        <f t="shared" ca="1" si="4"/>
        <v>0</v>
      </c>
    </row>
    <row r="36" spans="2:16" x14ac:dyDescent="0.25">
      <c r="B36" s="361" t="s">
        <v>413</v>
      </c>
      <c r="C36" s="455">
        <v>402685</v>
      </c>
      <c r="D36" s="362">
        <f>IFERROR(VLOOKUP(C36,Tabla_APL[[STOCKCODE]:[TYPE]],3,FALSE),"")</f>
        <v>2</v>
      </c>
      <c r="E36" s="362">
        <v>1</v>
      </c>
      <c r="F36" s="363">
        <f t="shared" si="0"/>
        <v>1</v>
      </c>
      <c r="G36" s="448" t="s">
        <v>1616</v>
      </c>
      <c r="H36" s="182">
        <v>0</v>
      </c>
      <c r="I36" s="365">
        <f t="shared" si="1"/>
        <v>0</v>
      </c>
      <c r="J36" s="366">
        <v>40</v>
      </c>
      <c r="K36" s="367">
        <f t="shared" si="2"/>
        <v>44779</v>
      </c>
      <c r="L36" s="368">
        <v>0</v>
      </c>
      <c r="M36" s="369">
        <f t="shared" si="3"/>
        <v>0</v>
      </c>
      <c r="N36" s="370"/>
      <c r="O36" s="371"/>
      <c r="P36" s="372">
        <f t="shared" ca="1" si="4"/>
        <v>0</v>
      </c>
    </row>
    <row r="37" spans="2:16" x14ac:dyDescent="0.25">
      <c r="B37" s="373" t="s">
        <v>414</v>
      </c>
      <c r="C37" s="455">
        <v>744220</v>
      </c>
      <c r="D37" s="362">
        <f>IFERROR(VLOOKUP(C37,Tabla_APL[[STOCKCODE]:[TYPE]],3,FALSE),"")</f>
        <v>0</v>
      </c>
      <c r="E37" s="375">
        <v>6</v>
      </c>
      <c r="F37" s="376">
        <f t="shared" si="0"/>
        <v>-6</v>
      </c>
      <c r="G37" s="449" t="s">
        <v>1617</v>
      </c>
      <c r="H37" s="182">
        <v>0</v>
      </c>
      <c r="I37" s="378">
        <f t="shared" si="1"/>
        <v>0</v>
      </c>
      <c r="J37" s="379">
        <v>40</v>
      </c>
      <c r="K37" s="380">
        <f t="shared" si="2"/>
        <v>44779</v>
      </c>
      <c r="L37" s="368">
        <v>0</v>
      </c>
      <c r="M37" s="381">
        <f t="shared" si="3"/>
        <v>0</v>
      </c>
      <c r="N37" s="382"/>
      <c r="O37" s="379"/>
      <c r="P37" s="378">
        <f t="shared" ca="1" si="4"/>
        <v>0</v>
      </c>
    </row>
    <row r="38" spans="2:16" x14ac:dyDescent="0.25">
      <c r="B38" s="361" t="s">
        <v>415</v>
      </c>
      <c r="C38" s="455">
        <v>744863</v>
      </c>
      <c r="D38" s="362">
        <f>IFERROR(VLOOKUP(C38,Tabla_APL[[STOCKCODE]:[TYPE]],3,FALSE),"")</f>
        <v>119</v>
      </c>
      <c r="E38" s="362">
        <v>4</v>
      </c>
      <c r="F38" s="363">
        <f t="shared" si="0"/>
        <v>115</v>
      </c>
      <c r="G38" s="449" t="s">
        <v>1618</v>
      </c>
      <c r="H38" s="182">
        <v>0</v>
      </c>
      <c r="I38" s="365">
        <f t="shared" si="1"/>
        <v>0</v>
      </c>
      <c r="J38" s="366">
        <v>40</v>
      </c>
      <c r="K38" s="367">
        <f t="shared" si="2"/>
        <v>44779</v>
      </c>
      <c r="L38" s="368">
        <v>0</v>
      </c>
      <c r="M38" s="369">
        <f t="shared" si="3"/>
        <v>0</v>
      </c>
      <c r="N38" s="370"/>
      <c r="O38" s="371"/>
      <c r="P38" s="372">
        <f t="shared" ca="1" si="4"/>
        <v>0</v>
      </c>
    </row>
    <row r="39" spans="2:16" x14ac:dyDescent="0.25">
      <c r="B39" s="373" t="s">
        <v>416</v>
      </c>
      <c r="C39" s="455">
        <v>361139</v>
      </c>
      <c r="D39" s="362">
        <f>IFERROR(VLOOKUP(C39,Tabla_APL[[STOCKCODE]:[TYPE]],3,FALSE),"")</f>
        <v>0</v>
      </c>
      <c r="E39" s="375">
        <v>1</v>
      </c>
      <c r="F39" s="376">
        <f t="shared" si="0"/>
        <v>-1</v>
      </c>
      <c r="G39" s="449" t="s">
        <v>1619</v>
      </c>
      <c r="H39" s="182">
        <v>0</v>
      </c>
      <c r="I39" s="378">
        <f t="shared" si="1"/>
        <v>0</v>
      </c>
      <c r="J39" s="379">
        <v>40</v>
      </c>
      <c r="K39" s="380">
        <f t="shared" si="2"/>
        <v>44779</v>
      </c>
      <c r="L39" s="368">
        <v>0</v>
      </c>
      <c r="M39" s="381">
        <f t="shared" si="3"/>
        <v>0</v>
      </c>
      <c r="N39" s="382"/>
      <c r="O39" s="379"/>
      <c r="P39" s="378">
        <f t="shared" ca="1" si="4"/>
        <v>0</v>
      </c>
    </row>
    <row r="40" spans="2:16" ht="30" x14ac:dyDescent="0.25">
      <c r="B40" s="260">
        <v>1.1000000000000001</v>
      </c>
      <c r="C40" s="358" t="s">
        <v>335</v>
      </c>
      <c r="D40" s="359" t="s">
        <v>320</v>
      </c>
      <c r="E40" s="358" t="s">
        <v>319</v>
      </c>
      <c r="F40" s="358" t="s">
        <v>453</v>
      </c>
      <c r="G40" s="360" t="s">
        <v>1479</v>
      </c>
      <c r="H40" s="360" t="s">
        <v>333</v>
      </c>
      <c r="I40" s="261">
        <f>SUM(I41:I62)</f>
        <v>0</v>
      </c>
      <c r="J40" s="360" t="s">
        <v>299</v>
      </c>
      <c r="K40" s="360" t="s">
        <v>339</v>
      </c>
      <c r="L40" s="261">
        <f>AVERAGE(L41:L62)</f>
        <v>13</v>
      </c>
      <c r="M40" s="261">
        <f>SUM(M41:M62)</f>
        <v>0</v>
      </c>
      <c r="N40" s="360" t="s">
        <v>340</v>
      </c>
      <c r="O40" s="360" t="s">
        <v>321</v>
      </c>
      <c r="P40" s="261">
        <f ca="1">SUM(P41:P62)</f>
        <v>0</v>
      </c>
    </row>
    <row r="41" spans="2:16" x14ac:dyDescent="0.25">
      <c r="B41" s="361" t="s">
        <v>1480</v>
      </c>
      <c r="C41" s="362">
        <v>144261</v>
      </c>
      <c r="D41" s="362">
        <f>IFERROR(VLOOKUP(C41,Tabla_APL[[STOCKCODE]:[TYPE]],3,FALSE),"")</f>
        <v>84</v>
      </c>
      <c r="E41" s="362">
        <v>2</v>
      </c>
      <c r="F41" s="363">
        <f t="shared" ref="F41:F57" si="5">D41-E41</f>
        <v>82</v>
      </c>
      <c r="G41" s="364" t="s">
        <v>443</v>
      </c>
      <c r="H41" s="182">
        <v>5</v>
      </c>
      <c r="I41" s="365">
        <f t="shared" ref="I41:I57" si="6">IF(H41=1,1/SUM(H$18:H$39),0)</f>
        <v>0</v>
      </c>
      <c r="J41" s="366">
        <v>45</v>
      </c>
      <c r="K41" s="367">
        <f t="shared" ref="K41:K57" si="7">$G$7-J41</f>
        <v>44774</v>
      </c>
      <c r="L41" s="368">
        <v>5</v>
      </c>
      <c r="M41" s="369">
        <f t="shared" ref="M41:M57" si="8">I41*L41</f>
        <v>0</v>
      </c>
      <c r="N41" s="370"/>
      <c r="O41" s="371"/>
      <c r="P41" s="372">
        <f t="shared" ref="P41:P57" ca="1" si="9">(IF(K41&lt;=TODAY(),1,0))*I41</f>
        <v>0</v>
      </c>
    </row>
    <row r="42" spans="2:16" x14ac:dyDescent="0.25">
      <c r="B42" s="373" t="s">
        <v>1481</v>
      </c>
      <c r="C42" s="374">
        <v>127308</v>
      </c>
      <c r="D42" s="362">
        <f>IFERROR(VLOOKUP(C42,Tabla_APL[[STOCKCODE]:[TYPE]],3,FALSE),"")</f>
        <v>0</v>
      </c>
      <c r="E42" s="375">
        <v>2</v>
      </c>
      <c r="F42" s="376">
        <f t="shared" si="5"/>
        <v>-2</v>
      </c>
      <c r="G42" s="377" t="s">
        <v>1241</v>
      </c>
      <c r="H42" s="182">
        <v>6</v>
      </c>
      <c r="I42" s="378">
        <f t="shared" si="6"/>
        <v>0</v>
      </c>
      <c r="J42" s="379">
        <v>46</v>
      </c>
      <c r="K42" s="380">
        <f t="shared" si="7"/>
        <v>44773</v>
      </c>
      <c r="L42" s="368">
        <v>6</v>
      </c>
      <c r="M42" s="381">
        <f t="shared" si="8"/>
        <v>0</v>
      </c>
      <c r="N42" s="382"/>
      <c r="O42" s="379"/>
      <c r="P42" s="378">
        <f t="shared" ca="1" si="9"/>
        <v>0</v>
      </c>
    </row>
    <row r="43" spans="2:16" x14ac:dyDescent="0.25">
      <c r="B43" s="361" t="s">
        <v>1482</v>
      </c>
      <c r="C43" s="362">
        <v>368035</v>
      </c>
      <c r="D43" s="362">
        <f>IFERROR(VLOOKUP(C43,Tabla_APL[[STOCKCODE]:[TYPE]],3,FALSE),"")</f>
        <v>0</v>
      </c>
      <c r="E43" s="362">
        <v>1</v>
      </c>
      <c r="F43" s="363">
        <f t="shared" si="5"/>
        <v>-1</v>
      </c>
      <c r="G43" s="364" t="s">
        <v>1242</v>
      </c>
      <c r="H43" s="182">
        <v>7</v>
      </c>
      <c r="I43" s="365">
        <f t="shared" si="6"/>
        <v>0</v>
      </c>
      <c r="J43" s="366">
        <v>47</v>
      </c>
      <c r="K43" s="367">
        <f t="shared" si="7"/>
        <v>44772</v>
      </c>
      <c r="L43" s="368">
        <v>7</v>
      </c>
      <c r="M43" s="369">
        <f t="shared" si="8"/>
        <v>0</v>
      </c>
      <c r="N43" s="370"/>
      <c r="O43" s="371"/>
      <c r="P43" s="372">
        <f t="shared" ca="1" si="9"/>
        <v>0</v>
      </c>
    </row>
    <row r="44" spans="2:16" x14ac:dyDescent="0.25">
      <c r="B44" s="373" t="s">
        <v>1483</v>
      </c>
      <c r="C44" s="374">
        <v>80705</v>
      </c>
      <c r="D44" s="362">
        <f>IFERROR(VLOOKUP(C44,Tabla_APL[[STOCKCODE]:[TYPE]],3,FALSE),"")</f>
        <v>3</v>
      </c>
      <c r="E44" s="375">
        <v>1</v>
      </c>
      <c r="F44" s="376">
        <f t="shared" si="5"/>
        <v>2</v>
      </c>
      <c r="G44" s="377" t="s">
        <v>1249</v>
      </c>
      <c r="H44" s="182">
        <v>8</v>
      </c>
      <c r="I44" s="378">
        <f t="shared" si="6"/>
        <v>0</v>
      </c>
      <c r="J44" s="379">
        <v>48</v>
      </c>
      <c r="K44" s="380">
        <f t="shared" si="7"/>
        <v>44771</v>
      </c>
      <c r="L44" s="368">
        <v>8</v>
      </c>
      <c r="M44" s="381">
        <f t="shared" si="8"/>
        <v>0</v>
      </c>
      <c r="N44" s="382"/>
      <c r="O44" s="379"/>
      <c r="P44" s="378">
        <f t="shared" ca="1" si="9"/>
        <v>0</v>
      </c>
    </row>
    <row r="45" spans="2:16" x14ac:dyDescent="0.25">
      <c r="B45" s="361" t="s">
        <v>1484</v>
      </c>
      <c r="C45" s="362">
        <v>177899</v>
      </c>
      <c r="D45" s="362">
        <f>IFERROR(VLOOKUP(C45,Tabla_APL[[STOCKCODE]:[TYPE]],3,FALSE),"")</f>
        <v>2563</v>
      </c>
      <c r="E45" s="362">
        <v>100</v>
      </c>
      <c r="F45" s="363">
        <f t="shared" si="5"/>
        <v>2463</v>
      </c>
      <c r="G45" s="364" t="s">
        <v>806</v>
      </c>
      <c r="H45" s="182">
        <v>9</v>
      </c>
      <c r="I45" s="365">
        <f t="shared" si="6"/>
        <v>0</v>
      </c>
      <c r="J45" s="366">
        <v>49</v>
      </c>
      <c r="K45" s="367">
        <f t="shared" si="7"/>
        <v>44770</v>
      </c>
      <c r="L45" s="368">
        <v>9</v>
      </c>
      <c r="M45" s="369">
        <f t="shared" si="8"/>
        <v>0</v>
      </c>
      <c r="N45" s="370"/>
      <c r="O45" s="371"/>
      <c r="P45" s="372">
        <f t="shared" ca="1" si="9"/>
        <v>0</v>
      </c>
    </row>
    <row r="46" spans="2:16" x14ac:dyDescent="0.25">
      <c r="B46" s="373" t="s">
        <v>1485</v>
      </c>
      <c r="C46" s="374">
        <v>742654</v>
      </c>
      <c r="D46" s="362">
        <f>IFERROR(VLOOKUP(C46,Tabla_APL[[STOCKCODE]:[TYPE]],3,FALSE),"")</f>
        <v>25</v>
      </c>
      <c r="E46" s="375">
        <v>50</v>
      </c>
      <c r="F46" s="376">
        <f t="shared" si="5"/>
        <v>-25</v>
      </c>
      <c r="G46" s="377" t="s">
        <v>1253</v>
      </c>
      <c r="H46" s="182">
        <v>10</v>
      </c>
      <c r="I46" s="378">
        <f t="shared" si="6"/>
        <v>0</v>
      </c>
      <c r="J46" s="379">
        <v>50</v>
      </c>
      <c r="K46" s="380">
        <f t="shared" si="7"/>
        <v>44769</v>
      </c>
      <c r="L46" s="368">
        <v>10</v>
      </c>
      <c r="M46" s="381">
        <f t="shared" si="8"/>
        <v>0</v>
      </c>
      <c r="N46" s="382"/>
      <c r="O46" s="379"/>
      <c r="P46" s="378">
        <f t="shared" ca="1" si="9"/>
        <v>0</v>
      </c>
    </row>
    <row r="47" spans="2:16" x14ac:dyDescent="0.25">
      <c r="B47" s="361" t="s">
        <v>1486</v>
      </c>
      <c r="C47" s="362">
        <v>68403</v>
      </c>
      <c r="D47" s="362">
        <f>IFERROR(VLOOKUP(C47,Tabla_APL[[STOCKCODE]:[TYPE]],3,FALSE),"")</f>
        <v>1</v>
      </c>
      <c r="E47" s="362">
        <v>4</v>
      </c>
      <c r="F47" s="363">
        <f t="shared" si="5"/>
        <v>-3</v>
      </c>
      <c r="G47" s="364" t="s">
        <v>1254</v>
      </c>
      <c r="H47" s="182">
        <v>11</v>
      </c>
      <c r="I47" s="365">
        <f t="shared" si="6"/>
        <v>0</v>
      </c>
      <c r="J47" s="366">
        <v>51</v>
      </c>
      <c r="K47" s="367">
        <f t="shared" si="7"/>
        <v>44768</v>
      </c>
      <c r="L47" s="368">
        <v>11</v>
      </c>
      <c r="M47" s="369">
        <f t="shared" si="8"/>
        <v>0</v>
      </c>
      <c r="N47" s="370"/>
      <c r="O47" s="371"/>
      <c r="P47" s="372">
        <f t="shared" ca="1" si="9"/>
        <v>0</v>
      </c>
    </row>
    <row r="48" spans="2:16" x14ac:dyDescent="0.25">
      <c r="B48" s="373" t="s">
        <v>1487</v>
      </c>
      <c r="C48" s="374">
        <v>127225</v>
      </c>
      <c r="D48" s="362">
        <f>IFERROR(VLOOKUP(C48,Tabla_APL[[STOCKCODE]:[TYPE]],3,FALSE),"")</f>
        <v>3</v>
      </c>
      <c r="E48" s="375">
        <v>1</v>
      </c>
      <c r="F48" s="376">
        <f t="shared" si="5"/>
        <v>2</v>
      </c>
      <c r="G48" s="377" t="s">
        <v>1260</v>
      </c>
      <c r="H48" s="182">
        <v>12</v>
      </c>
      <c r="I48" s="378">
        <f t="shared" si="6"/>
        <v>0</v>
      </c>
      <c r="J48" s="379">
        <v>52</v>
      </c>
      <c r="K48" s="380">
        <f t="shared" si="7"/>
        <v>44767</v>
      </c>
      <c r="L48" s="368">
        <v>12</v>
      </c>
      <c r="M48" s="381">
        <f t="shared" si="8"/>
        <v>0</v>
      </c>
      <c r="N48" s="382"/>
      <c r="O48" s="379"/>
      <c r="P48" s="378">
        <f t="shared" ca="1" si="9"/>
        <v>0</v>
      </c>
    </row>
    <row r="49" spans="2:16" x14ac:dyDescent="0.25">
      <c r="B49" s="361" t="s">
        <v>1488</v>
      </c>
      <c r="C49" s="362">
        <v>127209</v>
      </c>
      <c r="D49" s="362">
        <f>IFERROR(VLOOKUP(C49,Tabla_APL[[STOCKCODE]:[TYPE]],3,FALSE),"")</f>
        <v>0</v>
      </c>
      <c r="E49" s="362">
        <v>1</v>
      </c>
      <c r="F49" s="363">
        <f t="shared" si="5"/>
        <v>-1</v>
      </c>
      <c r="G49" s="364" t="s">
        <v>441</v>
      </c>
      <c r="H49" s="182">
        <v>13</v>
      </c>
      <c r="I49" s="365">
        <f t="shared" si="6"/>
        <v>0</v>
      </c>
      <c r="J49" s="366">
        <v>53</v>
      </c>
      <c r="K49" s="367">
        <f t="shared" si="7"/>
        <v>44766</v>
      </c>
      <c r="L49" s="368">
        <v>13</v>
      </c>
      <c r="M49" s="369">
        <f t="shared" si="8"/>
        <v>0</v>
      </c>
      <c r="N49" s="370"/>
      <c r="O49" s="371"/>
      <c r="P49" s="372">
        <f t="shared" ca="1" si="9"/>
        <v>0</v>
      </c>
    </row>
    <row r="50" spans="2:16" s="383" customFormat="1" x14ac:dyDescent="0.2">
      <c r="B50" s="373" t="s">
        <v>1489</v>
      </c>
      <c r="C50" s="374">
        <v>402727</v>
      </c>
      <c r="D50" s="362">
        <f>IFERROR(VLOOKUP(C50,Tabla_APL[[STOCKCODE]:[TYPE]],3,FALSE),"")</f>
        <v>0</v>
      </c>
      <c r="E50" s="375">
        <v>1</v>
      </c>
      <c r="F50" s="376">
        <f t="shared" si="5"/>
        <v>-1</v>
      </c>
      <c r="G50" s="377" t="s">
        <v>1265</v>
      </c>
      <c r="H50" s="182">
        <v>14</v>
      </c>
      <c r="I50" s="378">
        <f t="shared" si="6"/>
        <v>0</v>
      </c>
      <c r="J50" s="379">
        <v>54</v>
      </c>
      <c r="K50" s="380">
        <f t="shared" si="7"/>
        <v>44765</v>
      </c>
      <c r="L50" s="368">
        <v>14</v>
      </c>
      <c r="M50" s="381">
        <f t="shared" si="8"/>
        <v>0</v>
      </c>
      <c r="N50" s="382"/>
      <c r="O50" s="379"/>
      <c r="P50" s="378">
        <f t="shared" ca="1" si="9"/>
        <v>0</v>
      </c>
    </row>
    <row r="51" spans="2:16" x14ac:dyDescent="0.25">
      <c r="B51" s="361" t="s">
        <v>1490</v>
      </c>
      <c r="C51" s="362">
        <v>127233</v>
      </c>
      <c r="D51" s="362">
        <f>IFERROR(VLOOKUP(C51,Tabla_APL[[STOCKCODE]:[TYPE]],3,FALSE),"")</f>
        <v>0</v>
      </c>
      <c r="E51" s="362">
        <v>0</v>
      </c>
      <c r="F51" s="363">
        <f t="shared" si="5"/>
        <v>0</v>
      </c>
      <c r="G51" s="364" t="s">
        <v>1266</v>
      </c>
      <c r="H51" s="182">
        <v>15</v>
      </c>
      <c r="I51" s="365">
        <f t="shared" si="6"/>
        <v>0</v>
      </c>
      <c r="J51" s="366">
        <v>55</v>
      </c>
      <c r="K51" s="367">
        <f t="shared" si="7"/>
        <v>44764</v>
      </c>
      <c r="L51" s="368">
        <v>15</v>
      </c>
      <c r="M51" s="369">
        <f t="shared" si="8"/>
        <v>0</v>
      </c>
      <c r="N51" s="370"/>
      <c r="O51" s="371"/>
      <c r="P51" s="372">
        <f t="shared" ca="1" si="9"/>
        <v>0</v>
      </c>
    </row>
    <row r="52" spans="2:16" x14ac:dyDescent="0.25">
      <c r="B52" s="373" t="s">
        <v>1491</v>
      </c>
      <c r="C52" s="374">
        <v>551473</v>
      </c>
      <c r="D52" s="362" t="str">
        <f>IFERROR(VLOOKUP(C52,Tabla_APL[[STOCKCODE]:[TYPE]],3,FALSE),"")</f>
        <v/>
      </c>
      <c r="E52" s="375">
        <v>1</v>
      </c>
      <c r="F52" s="376" t="e">
        <f t="shared" si="5"/>
        <v>#VALUE!</v>
      </c>
      <c r="G52" s="377" t="s">
        <v>1492</v>
      </c>
      <c r="H52" s="182">
        <v>16</v>
      </c>
      <c r="I52" s="378">
        <f t="shared" si="6"/>
        <v>0</v>
      </c>
      <c r="J52" s="379">
        <v>56</v>
      </c>
      <c r="K52" s="380">
        <f t="shared" si="7"/>
        <v>44763</v>
      </c>
      <c r="L52" s="368">
        <v>16</v>
      </c>
      <c r="M52" s="381">
        <f t="shared" si="8"/>
        <v>0</v>
      </c>
      <c r="N52" s="382"/>
      <c r="O52" s="379"/>
      <c r="P52" s="378">
        <f t="shared" ca="1" si="9"/>
        <v>0</v>
      </c>
    </row>
    <row r="53" spans="2:16" x14ac:dyDescent="0.25">
      <c r="B53" s="361" t="s">
        <v>1493</v>
      </c>
      <c r="C53" s="362">
        <v>370650</v>
      </c>
      <c r="D53" s="362" t="str">
        <f>IFERROR(VLOOKUP(C53,Tabla_APL[[STOCKCODE]:[TYPE]],3,FALSE),"")</f>
        <v/>
      </c>
      <c r="E53" s="362">
        <v>1</v>
      </c>
      <c r="F53" s="363" t="e">
        <f t="shared" si="5"/>
        <v>#VALUE!</v>
      </c>
      <c r="G53" s="364" t="s">
        <v>1494</v>
      </c>
      <c r="H53" s="182">
        <v>17</v>
      </c>
      <c r="I53" s="365">
        <f t="shared" si="6"/>
        <v>0</v>
      </c>
      <c r="J53" s="366">
        <v>57</v>
      </c>
      <c r="K53" s="367">
        <f t="shared" si="7"/>
        <v>44762</v>
      </c>
      <c r="L53" s="368">
        <v>17</v>
      </c>
      <c r="M53" s="369">
        <f t="shared" si="8"/>
        <v>0</v>
      </c>
      <c r="N53" s="370"/>
      <c r="O53" s="371"/>
      <c r="P53" s="372">
        <f t="shared" ca="1" si="9"/>
        <v>0</v>
      </c>
    </row>
    <row r="54" spans="2:16" x14ac:dyDescent="0.25">
      <c r="B54" s="373" t="s">
        <v>1495</v>
      </c>
      <c r="C54" s="374">
        <v>449769</v>
      </c>
      <c r="D54" s="362" t="str">
        <f>IFERROR(VLOOKUP(C54,Tabla_APL[[STOCKCODE]:[TYPE]],3,FALSE),"")</f>
        <v/>
      </c>
      <c r="E54" s="375">
        <v>1</v>
      </c>
      <c r="F54" s="376" t="e">
        <f t="shared" si="5"/>
        <v>#VALUE!</v>
      </c>
      <c r="G54" s="377" t="s">
        <v>1496</v>
      </c>
      <c r="H54" s="182">
        <v>18</v>
      </c>
      <c r="I54" s="378">
        <f t="shared" si="6"/>
        <v>0</v>
      </c>
      <c r="J54" s="379">
        <v>58</v>
      </c>
      <c r="K54" s="380">
        <f t="shared" si="7"/>
        <v>44761</v>
      </c>
      <c r="L54" s="368">
        <v>18</v>
      </c>
      <c r="M54" s="381">
        <f t="shared" si="8"/>
        <v>0</v>
      </c>
      <c r="N54" s="382"/>
      <c r="O54" s="379"/>
      <c r="P54" s="378">
        <f t="shared" ca="1" si="9"/>
        <v>0</v>
      </c>
    </row>
    <row r="55" spans="2:16" x14ac:dyDescent="0.25">
      <c r="B55" s="361" t="s">
        <v>1497</v>
      </c>
      <c r="C55" s="362">
        <v>412593</v>
      </c>
      <c r="D55" s="362" t="str">
        <f>IFERROR(VLOOKUP(C55,Tabla_APL[[STOCKCODE]:[TYPE]],3,FALSE),"")</f>
        <v/>
      </c>
      <c r="E55" s="384">
        <v>1</v>
      </c>
      <c r="F55" s="363" t="e">
        <f t="shared" si="5"/>
        <v>#VALUE!</v>
      </c>
      <c r="G55" s="364" t="s">
        <v>1498</v>
      </c>
      <c r="H55" s="182">
        <v>19</v>
      </c>
      <c r="I55" s="365">
        <f t="shared" si="6"/>
        <v>0</v>
      </c>
      <c r="J55" s="366">
        <v>59</v>
      </c>
      <c r="K55" s="367">
        <f t="shared" si="7"/>
        <v>44760</v>
      </c>
      <c r="L55" s="368">
        <v>19</v>
      </c>
      <c r="M55" s="369">
        <f t="shared" si="8"/>
        <v>0</v>
      </c>
      <c r="N55" s="370"/>
      <c r="O55" s="371"/>
      <c r="P55" s="372">
        <f t="shared" ca="1" si="9"/>
        <v>0</v>
      </c>
    </row>
    <row r="56" spans="2:16" x14ac:dyDescent="0.25">
      <c r="B56" s="361" t="s">
        <v>1499</v>
      </c>
      <c r="C56" s="385">
        <v>68403</v>
      </c>
      <c r="D56" s="362">
        <f>IFERROR(VLOOKUP(C56,Tabla_APL[[STOCKCODE]:[TYPE]],3,FALSE),"")</f>
        <v>1</v>
      </c>
      <c r="E56" s="384">
        <v>2</v>
      </c>
      <c r="F56" s="363">
        <f t="shared" si="5"/>
        <v>-1</v>
      </c>
      <c r="G56" s="364" t="s">
        <v>1498</v>
      </c>
      <c r="H56" s="182">
        <v>20</v>
      </c>
      <c r="I56" s="365">
        <f t="shared" si="6"/>
        <v>0</v>
      </c>
      <c r="J56" s="366">
        <v>60</v>
      </c>
      <c r="K56" s="367">
        <f t="shared" si="7"/>
        <v>44759</v>
      </c>
      <c r="L56" s="368">
        <v>20</v>
      </c>
      <c r="M56" s="369">
        <f t="shared" si="8"/>
        <v>0</v>
      </c>
      <c r="N56" s="370"/>
      <c r="O56" s="371"/>
      <c r="P56" s="372">
        <f t="shared" ca="1" si="9"/>
        <v>0</v>
      </c>
    </row>
    <row r="57" spans="2:16" x14ac:dyDescent="0.25">
      <c r="B57" s="361" t="s">
        <v>1500</v>
      </c>
      <c r="C57" s="385">
        <v>127308</v>
      </c>
      <c r="D57" s="362">
        <f>IFERROR(VLOOKUP(C57,Tabla_APL[[STOCKCODE]:[TYPE]],3,FALSE),"")</f>
        <v>0</v>
      </c>
      <c r="E57" s="384">
        <v>2</v>
      </c>
      <c r="F57" s="363">
        <f t="shared" si="5"/>
        <v>-2</v>
      </c>
      <c r="G57" s="364" t="s">
        <v>1498</v>
      </c>
      <c r="H57" s="182">
        <v>21</v>
      </c>
      <c r="I57" s="365">
        <f t="shared" si="6"/>
        <v>0</v>
      </c>
      <c r="J57" s="366">
        <v>61</v>
      </c>
      <c r="K57" s="367">
        <f t="shared" si="7"/>
        <v>44758</v>
      </c>
      <c r="L57" s="368">
        <v>21</v>
      </c>
      <c r="M57" s="369">
        <f t="shared" si="8"/>
        <v>0</v>
      </c>
      <c r="N57" s="370"/>
      <c r="O57" s="371"/>
      <c r="P57" s="372">
        <f t="shared" ca="1" si="9"/>
        <v>0</v>
      </c>
    </row>
    <row r="75" ht="19.5" customHeight="1" x14ac:dyDescent="0.25"/>
    <row r="101" ht="26.1" customHeight="1" x14ac:dyDescent="0.25"/>
    <row r="113" collapsed="1" x14ac:dyDescent="0.25"/>
    <row r="146" collapsed="1" x14ac:dyDescent="0.25"/>
    <row r="166" collapsed="1" x14ac:dyDescent="0.25"/>
    <row r="177" collapsed="1" x14ac:dyDescent="0.25"/>
    <row r="187" collapsed="1" x14ac:dyDescent="0.25"/>
  </sheetData>
  <autoFilter ref="A16:R57" xr:uid="{CA8675E0-0A03-4656-9D68-39F95CF91C03}"/>
  <mergeCells count="15">
    <mergeCell ref="B12:F12"/>
    <mergeCell ref="L12:M12"/>
    <mergeCell ref="B13:F13"/>
    <mergeCell ref="B9:F9"/>
    <mergeCell ref="L9:M9"/>
    <mergeCell ref="B10:F10"/>
    <mergeCell ref="L10:M10"/>
    <mergeCell ref="B11:F11"/>
    <mergeCell ref="L11:M11"/>
    <mergeCell ref="A1:E5"/>
    <mergeCell ref="G1:N3"/>
    <mergeCell ref="B7:F7"/>
    <mergeCell ref="O7:P7"/>
    <mergeCell ref="B8:F8"/>
    <mergeCell ref="L8:M8"/>
  </mergeCells>
  <conditionalFormatting sqref="P13 O15">
    <cfRule type="expression" dxfId="64" priority="4">
      <formula>M13&lt;(N13*0.5)</formula>
    </cfRule>
    <cfRule type="expression" dxfId="63" priority="5">
      <formula>M13&gt;=(N13*0.5)</formula>
    </cfRule>
    <cfRule type="expression" dxfId="62" priority="6">
      <formula>M13&gt;(N13*0.8)</formula>
    </cfRule>
  </conditionalFormatting>
  <conditionalFormatting sqref="P8:P12">
    <cfRule type="expression" dxfId="61" priority="7">
      <formula>N8&lt;(O8*0.5)</formula>
    </cfRule>
    <cfRule type="expression" dxfId="60" priority="13">
      <formula>N8&lt;=(O8*0.8)</formula>
    </cfRule>
    <cfRule type="expression" dxfId="59" priority="14">
      <formula>N8&gt;(O8*0.8)</formula>
    </cfRule>
  </conditionalFormatting>
  <conditionalFormatting sqref="Q9:Q13">
    <cfRule type="expression" dxfId="58" priority="11" stopIfTrue="1">
      <formula>(O9-3%)&lt;=N9&lt;(O9-1%)</formula>
    </cfRule>
    <cfRule type="expression" dxfId="57" priority="12" stopIfTrue="1">
      <formula>N9&gt;=(O9-1%)</formula>
    </cfRule>
  </conditionalFormatting>
  <conditionalFormatting sqref="Q8">
    <cfRule type="expression" dxfId="56" priority="8" stopIfTrue="1">
      <formula>O8&gt;=(P8-5%)</formula>
    </cfRule>
    <cfRule type="expression" dxfId="55" priority="9" stopIfTrue="1">
      <formula>O8&lt;(P8-5%)</formula>
    </cfRule>
    <cfRule type="expression" dxfId="54" priority="10" stopIfTrue="1">
      <formula>O8&lt;(P8-10%)</formula>
    </cfRule>
  </conditionalFormatting>
  <conditionalFormatting sqref="P14">
    <cfRule type="expression" dxfId="53" priority="1">
      <formula>N14&lt;(O14*0.5)</formula>
    </cfRule>
    <cfRule type="expression" dxfId="52" priority="2">
      <formula>N14&gt;=(O14*0.5)</formula>
    </cfRule>
    <cfRule type="expression" dxfId="51" priority="3">
      <formula>N14&gt;(O14*0.8)</formula>
    </cfRule>
  </conditionalFormatting>
  <conditionalFormatting sqref="F18:F19">
    <cfRule type="iconSet" priority="15">
      <iconSet iconSet="3Symbols">
        <cfvo type="percent" val="0"/>
        <cfvo type="num" val="0"/>
        <cfvo type="num" val="0" gte="0"/>
      </iconSet>
    </cfRule>
  </conditionalFormatting>
  <conditionalFormatting sqref="L41:L57 L18:L39">
    <cfRule type="iconSet" priority="16">
      <iconSet>
        <cfvo type="percent" val="0"/>
        <cfvo type="percent" val="30"/>
        <cfvo type="percent" val="60"/>
      </iconSet>
    </cfRule>
  </conditionalFormatting>
  <conditionalFormatting sqref="F41:F57 F20:F39">
    <cfRule type="iconSet" priority="17">
      <iconSet iconSet="3Symbols">
        <cfvo type="percent" val="0"/>
        <cfvo type="num" val="0"/>
        <cfvo type="num" val="0" gte="0"/>
      </iconSet>
    </cfRule>
  </conditionalFormatting>
  <conditionalFormatting sqref="H41:H57 H18:H39">
    <cfRule type="iconSet" priority="18">
      <iconSet>
        <cfvo type="percent" val="0"/>
        <cfvo type="num" val="0"/>
        <cfvo type="num" val="1"/>
      </iconSet>
    </cfRule>
  </conditionalFormatting>
  <pageMargins left="0.7" right="0.7" top="0.75" bottom="0.75" header="0.3" footer="0.3"/>
  <pageSetup paperSize="9" orientation="portrait" horizont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7E9F8-EAE0-4D26-B036-F72B42E450C4}">
  <dimension ref="A1:M165"/>
  <sheetViews>
    <sheetView topLeftCell="A5" workbookViewId="0">
      <pane ySplit="1" topLeftCell="A159" activePane="bottomLeft" state="frozen"/>
      <selection activeCell="A5" sqref="A5"/>
      <selection pane="bottomLeft" activeCell="B160" sqref="B160"/>
    </sheetView>
  </sheetViews>
  <sheetFormatPr baseColWidth="10" defaultColWidth="10" defaultRowHeight="15" x14ac:dyDescent="0.25"/>
  <cols>
    <col min="1" max="1" width="6" style="439" customWidth="1"/>
    <col min="2" max="2" width="8.42578125" style="439" customWidth="1"/>
    <col min="3" max="3" width="12.5703125" style="440" customWidth="1"/>
    <col min="4" max="5" width="12.5703125" style="441" customWidth="1"/>
    <col min="6" max="6" width="45.42578125" style="442" customWidth="1"/>
    <col min="7" max="7" width="16.28515625" style="443" bestFit="1" customWidth="1"/>
    <col min="8" max="8" width="41.42578125" style="403" customWidth="1"/>
    <col min="9" max="9" width="9.42578125" style="441" customWidth="1"/>
    <col min="10" max="10" width="15.5703125" style="441" customWidth="1"/>
    <col min="11" max="11" width="7.5703125" style="441" customWidth="1"/>
    <col min="12" max="12" width="15.85546875" style="441" customWidth="1"/>
    <col min="13" max="13" width="50.42578125" style="401" customWidth="1"/>
    <col min="14" max="259" width="10" style="406"/>
    <col min="260" max="261" width="12.5703125" style="406" customWidth="1"/>
    <col min="262" max="262" width="65.5703125" style="406" customWidth="1"/>
    <col min="263" max="263" width="13.42578125" style="406" customWidth="1"/>
    <col min="264" max="264" width="8.5703125" style="406" bestFit="1" customWidth="1"/>
    <col min="265" max="265" width="41.42578125" style="406" customWidth="1"/>
    <col min="266" max="266" width="10" style="406"/>
    <col min="267" max="267" width="12.140625" style="406" customWidth="1"/>
    <col min="268" max="268" width="10" style="406"/>
    <col min="269" max="269" width="16" style="406" customWidth="1"/>
    <col min="270" max="515" width="10" style="406"/>
    <col min="516" max="517" width="12.5703125" style="406" customWidth="1"/>
    <col min="518" max="518" width="65.5703125" style="406" customWidth="1"/>
    <col min="519" max="519" width="13.42578125" style="406" customWidth="1"/>
    <col min="520" max="520" width="8.5703125" style="406" bestFit="1" customWidth="1"/>
    <col min="521" max="521" width="41.42578125" style="406" customWidth="1"/>
    <col min="522" max="522" width="10" style="406"/>
    <col min="523" max="523" width="12.140625" style="406" customWidth="1"/>
    <col min="524" max="524" width="10" style="406"/>
    <col min="525" max="525" width="16" style="406" customWidth="1"/>
    <col min="526" max="771" width="10" style="406"/>
    <col min="772" max="773" width="12.5703125" style="406" customWidth="1"/>
    <col min="774" max="774" width="65.5703125" style="406" customWidth="1"/>
    <col min="775" max="775" width="13.42578125" style="406" customWidth="1"/>
    <col min="776" max="776" width="8.5703125" style="406" bestFit="1" customWidth="1"/>
    <col min="777" max="777" width="41.42578125" style="406" customWidth="1"/>
    <col min="778" max="778" width="10" style="406"/>
    <col min="779" max="779" width="12.140625" style="406" customWidth="1"/>
    <col min="780" max="780" width="10" style="406"/>
    <col min="781" max="781" width="16" style="406" customWidth="1"/>
    <col min="782" max="1027" width="10" style="406"/>
    <col min="1028" max="1029" width="12.5703125" style="406" customWidth="1"/>
    <col min="1030" max="1030" width="65.5703125" style="406" customWidth="1"/>
    <col min="1031" max="1031" width="13.42578125" style="406" customWidth="1"/>
    <col min="1032" max="1032" width="8.5703125" style="406" bestFit="1" customWidth="1"/>
    <col min="1033" max="1033" width="41.42578125" style="406" customWidth="1"/>
    <col min="1034" max="1034" width="10" style="406"/>
    <col min="1035" max="1035" width="12.140625" style="406" customWidth="1"/>
    <col min="1036" max="1036" width="10" style="406"/>
    <col min="1037" max="1037" width="16" style="406" customWidth="1"/>
    <col min="1038" max="1283" width="10" style="406"/>
    <col min="1284" max="1285" width="12.5703125" style="406" customWidth="1"/>
    <col min="1286" max="1286" width="65.5703125" style="406" customWidth="1"/>
    <col min="1287" max="1287" width="13.42578125" style="406" customWidth="1"/>
    <col min="1288" max="1288" width="8.5703125" style="406" bestFit="1" customWidth="1"/>
    <col min="1289" max="1289" width="41.42578125" style="406" customWidth="1"/>
    <col min="1290" max="1290" width="10" style="406"/>
    <col min="1291" max="1291" width="12.140625" style="406" customWidth="1"/>
    <col min="1292" max="1292" width="10" style="406"/>
    <col min="1293" max="1293" width="16" style="406" customWidth="1"/>
    <col min="1294" max="1539" width="10" style="406"/>
    <col min="1540" max="1541" width="12.5703125" style="406" customWidth="1"/>
    <col min="1542" max="1542" width="65.5703125" style="406" customWidth="1"/>
    <col min="1543" max="1543" width="13.42578125" style="406" customWidth="1"/>
    <col min="1544" max="1544" width="8.5703125" style="406" bestFit="1" customWidth="1"/>
    <col min="1545" max="1545" width="41.42578125" style="406" customWidth="1"/>
    <col min="1546" max="1546" width="10" style="406"/>
    <col min="1547" max="1547" width="12.140625" style="406" customWidth="1"/>
    <col min="1548" max="1548" width="10" style="406"/>
    <col min="1549" max="1549" width="16" style="406" customWidth="1"/>
    <col min="1550" max="1795" width="10" style="406"/>
    <col min="1796" max="1797" width="12.5703125" style="406" customWidth="1"/>
    <col min="1798" max="1798" width="65.5703125" style="406" customWidth="1"/>
    <col min="1799" max="1799" width="13.42578125" style="406" customWidth="1"/>
    <col min="1800" max="1800" width="8.5703125" style="406" bestFit="1" customWidth="1"/>
    <col min="1801" max="1801" width="41.42578125" style="406" customWidth="1"/>
    <col min="1802" max="1802" width="10" style="406"/>
    <col min="1803" max="1803" width="12.140625" style="406" customWidth="1"/>
    <col min="1804" max="1804" width="10" style="406"/>
    <col min="1805" max="1805" width="16" style="406" customWidth="1"/>
    <col min="1806" max="2051" width="10" style="406"/>
    <col min="2052" max="2053" width="12.5703125" style="406" customWidth="1"/>
    <col min="2054" max="2054" width="65.5703125" style="406" customWidth="1"/>
    <col min="2055" max="2055" width="13.42578125" style="406" customWidth="1"/>
    <col min="2056" max="2056" width="8.5703125" style="406" bestFit="1" customWidth="1"/>
    <col min="2057" max="2057" width="41.42578125" style="406" customWidth="1"/>
    <col min="2058" max="2058" width="10" style="406"/>
    <col min="2059" max="2059" width="12.140625" style="406" customWidth="1"/>
    <col min="2060" max="2060" width="10" style="406"/>
    <col min="2061" max="2061" width="16" style="406" customWidth="1"/>
    <col min="2062" max="2307" width="10" style="406"/>
    <col min="2308" max="2309" width="12.5703125" style="406" customWidth="1"/>
    <col min="2310" max="2310" width="65.5703125" style="406" customWidth="1"/>
    <col min="2311" max="2311" width="13.42578125" style="406" customWidth="1"/>
    <col min="2312" max="2312" width="8.5703125" style="406" bestFit="1" customWidth="1"/>
    <col min="2313" max="2313" width="41.42578125" style="406" customWidth="1"/>
    <col min="2314" max="2314" width="10" style="406"/>
    <col min="2315" max="2315" width="12.140625" style="406" customWidth="1"/>
    <col min="2316" max="2316" width="10" style="406"/>
    <col min="2317" max="2317" width="16" style="406" customWidth="1"/>
    <col min="2318" max="2563" width="10" style="406"/>
    <col min="2564" max="2565" width="12.5703125" style="406" customWidth="1"/>
    <col min="2566" max="2566" width="65.5703125" style="406" customWidth="1"/>
    <col min="2567" max="2567" width="13.42578125" style="406" customWidth="1"/>
    <col min="2568" max="2568" width="8.5703125" style="406" bestFit="1" customWidth="1"/>
    <col min="2569" max="2569" width="41.42578125" style="406" customWidth="1"/>
    <col min="2570" max="2570" width="10" style="406"/>
    <col min="2571" max="2571" width="12.140625" style="406" customWidth="1"/>
    <col min="2572" max="2572" width="10" style="406"/>
    <col min="2573" max="2573" width="16" style="406" customWidth="1"/>
    <col min="2574" max="2819" width="10" style="406"/>
    <col min="2820" max="2821" width="12.5703125" style="406" customWidth="1"/>
    <col min="2822" max="2822" width="65.5703125" style="406" customWidth="1"/>
    <col min="2823" max="2823" width="13.42578125" style="406" customWidth="1"/>
    <col min="2824" max="2824" width="8.5703125" style="406" bestFit="1" customWidth="1"/>
    <col min="2825" max="2825" width="41.42578125" style="406" customWidth="1"/>
    <col min="2826" max="2826" width="10" style="406"/>
    <col min="2827" max="2827" width="12.140625" style="406" customWidth="1"/>
    <col min="2828" max="2828" width="10" style="406"/>
    <col min="2829" max="2829" width="16" style="406" customWidth="1"/>
    <col min="2830" max="3075" width="10" style="406"/>
    <col min="3076" max="3077" width="12.5703125" style="406" customWidth="1"/>
    <col min="3078" max="3078" width="65.5703125" style="406" customWidth="1"/>
    <col min="3079" max="3079" width="13.42578125" style="406" customWidth="1"/>
    <col min="3080" max="3080" width="8.5703125" style="406" bestFit="1" customWidth="1"/>
    <col min="3081" max="3081" width="41.42578125" style="406" customWidth="1"/>
    <col min="3082" max="3082" width="10" style="406"/>
    <col min="3083" max="3083" width="12.140625" style="406" customWidth="1"/>
    <col min="3084" max="3084" width="10" style="406"/>
    <col min="3085" max="3085" width="16" style="406" customWidth="1"/>
    <col min="3086" max="3331" width="10" style="406"/>
    <col min="3332" max="3333" width="12.5703125" style="406" customWidth="1"/>
    <col min="3334" max="3334" width="65.5703125" style="406" customWidth="1"/>
    <col min="3335" max="3335" width="13.42578125" style="406" customWidth="1"/>
    <col min="3336" max="3336" width="8.5703125" style="406" bestFit="1" customWidth="1"/>
    <col min="3337" max="3337" width="41.42578125" style="406" customWidth="1"/>
    <col min="3338" max="3338" width="10" style="406"/>
    <col min="3339" max="3339" width="12.140625" style="406" customWidth="1"/>
    <col min="3340" max="3340" width="10" style="406"/>
    <col min="3341" max="3341" width="16" style="406" customWidth="1"/>
    <col min="3342" max="3587" width="10" style="406"/>
    <col min="3588" max="3589" width="12.5703125" style="406" customWidth="1"/>
    <col min="3590" max="3590" width="65.5703125" style="406" customWidth="1"/>
    <col min="3591" max="3591" width="13.42578125" style="406" customWidth="1"/>
    <col min="3592" max="3592" width="8.5703125" style="406" bestFit="1" customWidth="1"/>
    <col min="3593" max="3593" width="41.42578125" style="406" customWidth="1"/>
    <col min="3594" max="3594" width="10" style="406"/>
    <col min="3595" max="3595" width="12.140625" style="406" customWidth="1"/>
    <col min="3596" max="3596" width="10" style="406"/>
    <col min="3597" max="3597" width="16" style="406" customWidth="1"/>
    <col min="3598" max="3843" width="10" style="406"/>
    <col min="3844" max="3845" width="12.5703125" style="406" customWidth="1"/>
    <col min="3846" max="3846" width="65.5703125" style="406" customWidth="1"/>
    <col min="3847" max="3847" width="13.42578125" style="406" customWidth="1"/>
    <col min="3848" max="3848" width="8.5703125" style="406" bestFit="1" customWidth="1"/>
    <col min="3849" max="3849" width="41.42578125" style="406" customWidth="1"/>
    <col min="3850" max="3850" width="10" style="406"/>
    <col min="3851" max="3851" width="12.140625" style="406" customWidth="1"/>
    <col min="3852" max="3852" width="10" style="406"/>
    <col min="3853" max="3853" width="16" style="406" customWidth="1"/>
    <col min="3854" max="4099" width="10" style="406"/>
    <col min="4100" max="4101" width="12.5703125" style="406" customWidth="1"/>
    <col min="4102" max="4102" width="65.5703125" style="406" customWidth="1"/>
    <col min="4103" max="4103" width="13.42578125" style="406" customWidth="1"/>
    <col min="4104" max="4104" width="8.5703125" style="406" bestFit="1" customWidth="1"/>
    <col min="4105" max="4105" width="41.42578125" style="406" customWidth="1"/>
    <col min="4106" max="4106" width="10" style="406"/>
    <col min="4107" max="4107" width="12.140625" style="406" customWidth="1"/>
    <col min="4108" max="4108" width="10" style="406"/>
    <col min="4109" max="4109" width="16" style="406" customWidth="1"/>
    <col min="4110" max="4355" width="10" style="406"/>
    <col min="4356" max="4357" width="12.5703125" style="406" customWidth="1"/>
    <col min="4358" max="4358" width="65.5703125" style="406" customWidth="1"/>
    <col min="4359" max="4359" width="13.42578125" style="406" customWidth="1"/>
    <col min="4360" max="4360" width="8.5703125" style="406" bestFit="1" customWidth="1"/>
    <col min="4361" max="4361" width="41.42578125" style="406" customWidth="1"/>
    <col min="4362" max="4362" width="10" style="406"/>
    <col min="4363" max="4363" width="12.140625" style="406" customWidth="1"/>
    <col min="4364" max="4364" width="10" style="406"/>
    <col min="4365" max="4365" width="16" style="406" customWidth="1"/>
    <col min="4366" max="4611" width="10" style="406"/>
    <col min="4612" max="4613" width="12.5703125" style="406" customWidth="1"/>
    <col min="4614" max="4614" width="65.5703125" style="406" customWidth="1"/>
    <col min="4615" max="4615" width="13.42578125" style="406" customWidth="1"/>
    <col min="4616" max="4616" width="8.5703125" style="406" bestFit="1" customWidth="1"/>
    <col min="4617" max="4617" width="41.42578125" style="406" customWidth="1"/>
    <col min="4618" max="4618" width="10" style="406"/>
    <col min="4619" max="4619" width="12.140625" style="406" customWidth="1"/>
    <col min="4620" max="4620" width="10" style="406"/>
    <col min="4621" max="4621" width="16" style="406" customWidth="1"/>
    <col min="4622" max="4867" width="10" style="406"/>
    <col min="4868" max="4869" width="12.5703125" style="406" customWidth="1"/>
    <col min="4870" max="4870" width="65.5703125" style="406" customWidth="1"/>
    <col min="4871" max="4871" width="13.42578125" style="406" customWidth="1"/>
    <col min="4872" max="4872" width="8.5703125" style="406" bestFit="1" customWidth="1"/>
    <col min="4873" max="4873" width="41.42578125" style="406" customWidth="1"/>
    <col min="4874" max="4874" width="10" style="406"/>
    <col min="4875" max="4875" width="12.140625" style="406" customWidth="1"/>
    <col min="4876" max="4876" width="10" style="406"/>
    <col min="4877" max="4877" width="16" style="406" customWidth="1"/>
    <col min="4878" max="5123" width="10" style="406"/>
    <col min="5124" max="5125" width="12.5703125" style="406" customWidth="1"/>
    <col min="5126" max="5126" width="65.5703125" style="406" customWidth="1"/>
    <col min="5127" max="5127" width="13.42578125" style="406" customWidth="1"/>
    <col min="5128" max="5128" width="8.5703125" style="406" bestFit="1" customWidth="1"/>
    <col min="5129" max="5129" width="41.42578125" style="406" customWidth="1"/>
    <col min="5130" max="5130" width="10" style="406"/>
    <col min="5131" max="5131" width="12.140625" style="406" customWidth="1"/>
    <col min="5132" max="5132" width="10" style="406"/>
    <col min="5133" max="5133" width="16" style="406" customWidth="1"/>
    <col min="5134" max="5379" width="10" style="406"/>
    <col min="5380" max="5381" width="12.5703125" style="406" customWidth="1"/>
    <col min="5382" max="5382" width="65.5703125" style="406" customWidth="1"/>
    <col min="5383" max="5383" width="13.42578125" style="406" customWidth="1"/>
    <col min="5384" max="5384" width="8.5703125" style="406" bestFit="1" customWidth="1"/>
    <col min="5385" max="5385" width="41.42578125" style="406" customWidth="1"/>
    <col min="5386" max="5386" width="10" style="406"/>
    <col min="5387" max="5387" width="12.140625" style="406" customWidth="1"/>
    <col min="5388" max="5388" width="10" style="406"/>
    <col min="5389" max="5389" width="16" style="406" customWidth="1"/>
    <col min="5390" max="5635" width="10" style="406"/>
    <col min="5636" max="5637" width="12.5703125" style="406" customWidth="1"/>
    <col min="5638" max="5638" width="65.5703125" style="406" customWidth="1"/>
    <col min="5639" max="5639" width="13.42578125" style="406" customWidth="1"/>
    <col min="5640" max="5640" width="8.5703125" style="406" bestFit="1" customWidth="1"/>
    <col min="5641" max="5641" width="41.42578125" style="406" customWidth="1"/>
    <col min="5642" max="5642" width="10" style="406"/>
    <col min="5643" max="5643" width="12.140625" style="406" customWidth="1"/>
    <col min="5644" max="5644" width="10" style="406"/>
    <col min="5645" max="5645" width="16" style="406" customWidth="1"/>
    <col min="5646" max="5891" width="10" style="406"/>
    <col min="5892" max="5893" width="12.5703125" style="406" customWidth="1"/>
    <col min="5894" max="5894" width="65.5703125" style="406" customWidth="1"/>
    <col min="5895" max="5895" width="13.42578125" style="406" customWidth="1"/>
    <col min="5896" max="5896" width="8.5703125" style="406" bestFit="1" customWidth="1"/>
    <col min="5897" max="5897" width="41.42578125" style="406" customWidth="1"/>
    <col min="5898" max="5898" width="10" style="406"/>
    <col min="5899" max="5899" width="12.140625" style="406" customWidth="1"/>
    <col min="5900" max="5900" width="10" style="406"/>
    <col min="5901" max="5901" width="16" style="406" customWidth="1"/>
    <col min="5902" max="6147" width="10" style="406"/>
    <col min="6148" max="6149" width="12.5703125" style="406" customWidth="1"/>
    <col min="6150" max="6150" width="65.5703125" style="406" customWidth="1"/>
    <col min="6151" max="6151" width="13.42578125" style="406" customWidth="1"/>
    <col min="6152" max="6152" width="8.5703125" style="406" bestFit="1" customWidth="1"/>
    <col min="6153" max="6153" width="41.42578125" style="406" customWidth="1"/>
    <col min="6154" max="6154" width="10" style="406"/>
    <col min="6155" max="6155" width="12.140625" style="406" customWidth="1"/>
    <col min="6156" max="6156" width="10" style="406"/>
    <col min="6157" max="6157" width="16" style="406" customWidth="1"/>
    <col min="6158" max="6403" width="10" style="406"/>
    <col min="6404" max="6405" width="12.5703125" style="406" customWidth="1"/>
    <col min="6406" max="6406" width="65.5703125" style="406" customWidth="1"/>
    <col min="6407" max="6407" width="13.42578125" style="406" customWidth="1"/>
    <col min="6408" max="6408" width="8.5703125" style="406" bestFit="1" customWidth="1"/>
    <col min="6409" max="6409" width="41.42578125" style="406" customWidth="1"/>
    <col min="6410" max="6410" width="10" style="406"/>
    <col min="6411" max="6411" width="12.140625" style="406" customWidth="1"/>
    <col min="6412" max="6412" width="10" style="406"/>
    <col min="6413" max="6413" width="16" style="406" customWidth="1"/>
    <col min="6414" max="6659" width="10" style="406"/>
    <col min="6660" max="6661" width="12.5703125" style="406" customWidth="1"/>
    <col min="6662" max="6662" width="65.5703125" style="406" customWidth="1"/>
    <col min="6663" max="6663" width="13.42578125" style="406" customWidth="1"/>
    <col min="6664" max="6664" width="8.5703125" style="406" bestFit="1" customWidth="1"/>
    <col min="6665" max="6665" width="41.42578125" style="406" customWidth="1"/>
    <col min="6666" max="6666" width="10" style="406"/>
    <col min="6667" max="6667" width="12.140625" style="406" customWidth="1"/>
    <col min="6668" max="6668" width="10" style="406"/>
    <col min="6669" max="6669" width="16" style="406" customWidth="1"/>
    <col min="6670" max="6915" width="10" style="406"/>
    <col min="6916" max="6917" width="12.5703125" style="406" customWidth="1"/>
    <col min="6918" max="6918" width="65.5703125" style="406" customWidth="1"/>
    <col min="6919" max="6919" width="13.42578125" style="406" customWidth="1"/>
    <col min="6920" max="6920" width="8.5703125" style="406" bestFit="1" customWidth="1"/>
    <col min="6921" max="6921" width="41.42578125" style="406" customWidth="1"/>
    <col min="6922" max="6922" width="10" style="406"/>
    <col min="6923" max="6923" width="12.140625" style="406" customWidth="1"/>
    <col min="6924" max="6924" width="10" style="406"/>
    <col min="6925" max="6925" width="16" style="406" customWidth="1"/>
    <col min="6926" max="7171" width="10" style="406"/>
    <col min="7172" max="7173" width="12.5703125" style="406" customWidth="1"/>
    <col min="7174" max="7174" width="65.5703125" style="406" customWidth="1"/>
    <col min="7175" max="7175" width="13.42578125" style="406" customWidth="1"/>
    <col min="7176" max="7176" width="8.5703125" style="406" bestFit="1" customWidth="1"/>
    <col min="7177" max="7177" width="41.42578125" style="406" customWidth="1"/>
    <col min="7178" max="7178" width="10" style="406"/>
    <col min="7179" max="7179" width="12.140625" style="406" customWidth="1"/>
    <col min="7180" max="7180" width="10" style="406"/>
    <col min="7181" max="7181" width="16" style="406" customWidth="1"/>
    <col min="7182" max="7427" width="10" style="406"/>
    <col min="7428" max="7429" width="12.5703125" style="406" customWidth="1"/>
    <col min="7430" max="7430" width="65.5703125" style="406" customWidth="1"/>
    <col min="7431" max="7431" width="13.42578125" style="406" customWidth="1"/>
    <col min="7432" max="7432" width="8.5703125" style="406" bestFit="1" customWidth="1"/>
    <col min="7433" max="7433" width="41.42578125" style="406" customWidth="1"/>
    <col min="7434" max="7434" width="10" style="406"/>
    <col min="7435" max="7435" width="12.140625" style="406" customWidth="1"/>
    <col min="7436" max="7436" width="10" style="406"/>
    <col min="7437" max="7437" width="16" style="406" customWidth="1"/>
    <col min="7438" max="7683" width="10" style="406"/>
    <col min="7684" max="7685" width="12.5703125" style="406" customWidth="1"/>
    <col min="7686" max="7686" width="65.5703125" style="406" customWidth="1"/>
    <col min="7687" max="7687" width="13.42578125" style="406" customWidth="1"/>
    <col min="7688" max="7688" width="8.5703125" style="406" bestFit="1" customWidth="1"/>
    <col min="7689" max="7689" width="41.42578125" style="406" customWidth="1"/>
    <col min="7690" max="7690" width="10" style="406"/>
    <col min="7691" max="7691" width="12.140625" style="406" customWidth="1"/>
    <col min="7692" max="7692" width="10" style="406"/>
    <col min="7693" max="7693" width="16" style="406" customWidth="1"/>
    <col min="7694" max="7939" width="10" style="406"/>
    <col min="7940" max="7941" width="12.5703125" style="406" customWidth="1"/>
    <col min="7942" max="7942" width="65.5703125" style="406" customWidth="1"/>
    <col min="7943" max="7943" width="13.42578125" style="406" customWidth="1"/>
    <col min="7944" max="7944" width="8.5703125" style="406" bestFit="1" customWidth="1"/>
    <col min="7945" max="7945" width="41.42578125" style="406" customWidth="1"/>
    <col min="7946" max="7946" width="10" style="406"/>
    <col min="7947" max="7947" width="12.140625" style="406" customWidth="1"/>
    <col min="7948" max="7948" width="10" style="406"/>
    <col min="7949" max="7949" width="16" style="406" customWidth="1"/>
    <col min="7950" max="8195" width="10" style="406"/>
    <col min="8196" max="8197" width="12.5703125" style="406" customWidth="1"/>
    <col min="8198" max="8198" width="65.5703125" style="406" customWidth="1"/>
    <col min="8199" max="8199" width="13.42578125" style="406" customWidth="1"/>
    <col min="8200" max="8200" width="8.5703125" style="406" bestFit="1" customWidth="1"/>
    <col min="8201" max="8201" width="41.42578125" style="406" customWidth="1"/>
    <col min="8202" max="8202" width="10" style="406"/>
    <col min="8203" max="8203" width="12.140625" style="406" customWidth="1"/>
    <col min="8204" max="8204" width="10" style="406"/>
    <col min="8205" max="8205" width="16" style="406" customWidth="1"/>
    <col min="8206" max="8451" width="10" style="406"/>
    <col min="8452" max="8453" width="12.5703125" style="406" customWidth="1"/>
    <col min="8454" max="8454" width="65.5703125" style="406" customWidth="1"/>
    <col min="8455" max="8455" width="13.42578125" style="406" customWidth="1"/>
    <col min="8456" max="8456" width="8.5703125" style="406" bestFit="1" customWidth="1"/>
    <col min="8457" max="8457" width="41.42578125" style="406" customWidth="1"/>
    <col min="8458" max="8458" width="10" style="406"/>
    <col min="8459" max="8459" width="12.140625" style="406" customWidth="1"/>
    <col min="8460" max="8460" width="10" style="406"/>
    <col min="8461" max="8461" width="16" style="406" customWidth="1"/>
    <col min="8462" max="8707" width="10" style="406"/>
    <col min="8708" max="8709" width="12.5703125" style="406" customWidth="1"/>
    <col min="8710" max="8710" width="65.5703125" style="406" customWidth="1"/>
    <col min="8711" max="8711" width="13.42578125" style="406" customWidth="1"/>
    <col min="8712" max="8712" width="8.5703125" style="406" bestFit="1" customWidth="1"/>
    <col min="8713" max="8713" width="41.42578125" style="406" customWidth="1"/>
    <col min="8714" max="8714" width="10" style="406"/>
    <col min="8715" max="8715" width="12.140625" style="406" customWidth="1"/>
    <col min="8716" max="8716" width="10" style="406"/>
    <col min="8717" max="8717" width="16" style="406" customWidth="1"/>
    <col min="8718" max="8963" width="10" style="406"/>
    <col min="8964" max="8965" width="12.5703125" style="406" customWidth="1"/>
    <col min="8966" max="8966" width="65.5703125" style="406" customWidth="1"/>
    <col min="8967" max="8967" width="13.42578125" style="406" customWidth="1"/>
    <col min="8968" max="8968" width="8.5703125" style="406" bestFit="1" customWidth="1"/>
    <col min="8969" max="8969" width="41.42578125" style="406" customWidth="1"/>
    <col min="8970" max="8970" width="10" style="406"/>
    <col min="8971" max="8971" width="12.140625" style="406" customWidth="1"/>
    <col min="8972" max="8972" width="10" style="406"/>
    <col min="8973" max="8973" width="16" style="406" customWidth="1"/>
    <col min="8974" max="9219" width="10" style="406"/>
    <col min="9220" max="9221" width="12.5703125" style="406" customWidth="1"/>
    <col min="9222" max="9222" width="65.5703125" style="406" customWidth="1"/>
    <col min="9223" max="9223" width="13.42578125" style="406" customWidth="1"/>
    <col min="9224" max="9224" width="8.5703125" style="406" bestFit="1" customWidth="1"/>
    <col min="9225" max="9225" width="41.42578125" style="406" customWidth="1"/>
    <col min="9226" max="9226" width="10" style="406"/>
    <col min="9227" max="9227" width="12.140625" style="406" customWidth="1"/>
    <col min="9228" max="9228" width="10" style="406"/>
    <col min="9229" max="9229" width="16" style="406" customWidth="1"/>
    <col min="9230" max="9475" width="10" style="406"/>
    <col min="9476" max="9477" width="12.5703125" style="406" customWidth="1"/>
    <col min="9478" max="9478" width="65.5703125" style="406" customWidth="1"/>
    <col min="9479" max="9479" width="13.42578125" style="406" customWidth="1"/>
    <col min="9480" max="9480" width="8.5703125" style="406" bestFit="1" customWidth="1"/>
    <col min="9481" max="9481" width="41.42578125" style="406" customWidth="1"/>
    <col min="9482" max="9482" width="10" style="406"/>
    <col min="9483" max="9483" width="12.140625" style="406" customWidth="1"/>
    <col min="9484" max="9484" width="10" style="406"/>
    <col min="9485" max="9485" width="16" style="406" customWidth="1"/>
    <col min="9486" max="9731" width="10" style="406"/>
    <col min="9732" max="9733" width="12.5703125" style="406" customWidth="1"/>
    <col min="9734" max="9734" width="65.5703125" style="406" customWidth="1"/>
    <col min="9735" max="9735" width="13.42578125" style="406" customWidth="1"/>
    <col min="9736" max="9736" width="8.5703125" style="406" bestFit="1" customWidth="1"/>
    <col min="9737" max="9737" width="41.42578125" style="406" customWidth="1"/>
    <col min="9738" max="9738" width="10" style="406"/>
    <col min="9739" max="9739" width="12.140625" style="406" customWidth="1"/>
    <col min="9740" max="9740" width="10" style="406"/>
    <col min="9741" max="9741" width="16" style="406" customWidth="1"/>
    <col min="9742" max="9987" width="10" style="406"/>
    <col min="9988" max="9989" width="12.5703125" style="406" customWidth="1"/>
    <col min="9990" max="9990" width="65.5703125" style="406" customWidth="1"/>
    <col min="9991" max="9991" width="13.42578125" style="406" customWidth="1"/>
    <col min="9992" max="9992" width="8.5703125" style="406" bestFit="1" customWidth="1"/>
    <col min="9993" max="9993" width="41.42578125" style="406" customWidth="1"/>
    <col min="9994" max="9994" width="10" style="406"/>
    <col min="9995" max="9995" width="12.140625" style="406" customWidth="1"/>
    <col min="9996" max="9996" width="10" style="406"/>
    <col min="9997" max="9997" width="16" style="406" customWidth="1"/>
    <col min="9998" max="10243" width="10" style="406"/>
    <col min="10244" max="10245" width="12.5703125" style="406" customWidth="1"/>
    <col min="10246" max="10246" width="65.5703125" style="406" customWidth="1"/>
    <col min="10247" max="10247" width="13.42578125" style="406" customWidth="1"/>
    <col min="10248" max="10248" width="8.5703125" style="406" bestFit="1" customWidth="1"/>
    <col min="10249" max="10249" width="41.42578125" style="406" customWidth="1"/>
    <col min="10250" max="10250" width="10" style="406"/>
    <col min="10251" max="10251" width="12.140625" style="406" customWidth="1"/>
    <col min="10252" max="10252" width="10" style="406"/>
    <col min="10253" max="10253" width="16" style="406" customWidth="1"/>
    <col min="10254" max="10499" width="10" style="406"/>
    <col min="10500" max="10501" width="12.5703125" style="406" customWidth="1"/>
    <col min="10502" max="10502" width="65.5703125" style="406" customWidth="1"/>
    <col min="10503" max="10503" width="13.42578125" style="406" customWidth="1"/>
    <col min="10504" max="10504" width="8.5703125" style="406" bestFit="1" customWidth="1"/>
    <col min="10505" max="10505" width="41.42578125" style="406" customWidth="1"/>
    <col min="10506" max="10506" width="10" style="406"/>
    <col min="10507" max="10507" width="12.140625" style="406" customWidth="1"/>
    <col min="10508" max="10508" width="10" style="406"/>
    <col min="10509" max="10509" width="16" style="406" customWidth="1"/>
    <col min="10510" max="10755" width="10" style="406"/>
    <col min="10756" max="10757" width="12.5703125" style="406" customWidth="1"/>
    <col min="10758" max="10758" width="65.5703125" style="406" customWidth="1"/>
    <col min="10759" max="10759" width="13.42578125" style="406" customWidth="1"/>
    <col min="10760" max="10760" width="8.5703125" style="406" bestFit="1" customWidth="1"/>
    <col min="10761" max="10761" width="41.42578125" style="406" customWidth="1"/>
    <col min="10762" max="10762" width="10" style="406"/>
    <col min="10763" max="10763" width="12.140625" style="406" customWidth="1"/>
    <col min="10764" max="10764" width="10" style="406"/>
    <col min="10765" max="10765" width="16" style="406" customWidth="1"/>
    <col min="10766" max="11011" width="10" style="406"/>
    <col min="11012" max="11013" width="12.5703125" style="406" customWidth="1"/>
    <col min="11014" max="11014" width="65.5703125" style="406" customWidth="1"/>
    <col min="11015" max="11015" width="13.42578125" style="406" customWidth="1"/>
    <col min="11016" max="11016" width="8.5703125" style="406" bestFit="1" customWidth="1"/>
    <col min="11017" max="11017" width="41.42578125" style="406" customWidth="1"/>
    <col min="11018" max="11018" width="10" style="406"/>
    <col min="11019" max="11019" width="12.140625" style="406" customWidth="1"/>
    <col min="11020" max="11020" width="10" style="406"/>
    <col min="11021" max="11021" width="16" style="406" customWidth="1"/>
    <col min="11022" max="11267" width="10" style="406"/>
    <col min="11268" max="11269" width="12.5703125" style="406" customWidth="1"/>
    <col min="11270" max="11270" width="65.5703125" style="406" customWidth="1"/>
    <col min="11271" max="11271" width="13.42578125" style="406" customWidth="1"/>
    <col min="11272" max="11272" width="8.5703125" style="406" bestFit="1" customWidth="1"/>
    <col min="11273" max="11273" width="41.42578125" style="406" customWidth="1"/>
    <col min="11274" max="11274" width="10" style="406"/>
    <col min="11275" max="11275" width="12.140625" style="406" customWidth="1"/>
    <col min="11276" max="11276" width="10" style="406"/>
    <col min="11277" max="11277" width="16" style="406" customWidth="1"/>
    <col min="11278" max="11523" width="10" style="406"/>
    <col min="11524" max="11525" width="12.5703125" style="406" customWidth="1"/>
    <col min="11526" max="11526" width="65.5703125" style="406" customWidth="1"/>
    <col min="11527" max="11527" width="13.42578125" style="406" customWidth="1"/>
    <col min="11528" max="11528" width="8.5703125" style="406" bestFit="1" customWidth="1"/>
    <col min="11529" max="11529" width="41.42578125" style="406" customWidth="1"/>
    <col min="11530" max="11530" width="10" style="406"/>
    <col min="11531" max="11531" width="12.140625" style="406" customWidth="1"/>
    <col min="11532" max="11532" width="10" style="406"/>
    <col min="11533" max="11533" width="16" style="406" customWidth="1"/>
    <col min="11534" max="11779" width="10" style="406"/>
    <col min="11780" max="11781" width="12.5703125" style="406" customWidth="1"/>
    <col min="11782" max="11782" width="65.5703125" style="406" customWidth="1"/>
    <col min="11783" max="11783" width="13.42578125" style="406" customWidth="1"/>
    <col min="11784" max="11784" width="8.5703125" style="406" bestFit="1" customWidth="1"/>
    <col min="11785" max="11785" width="41.42578125" style="406" customWidth="1"/>
    <col min="11786" max="11786" width="10" style="406"/>
    <col min="11787" max="11787" width="12.140625" style="406" customWidth="1"/>
    <col min="11788" max="11788" width="10" style="406"/>
    <col min="11789" max="11789" width="16" style="406" customWidth="1"/>
    <col min="11790" max="12035" width="10" style="406"/>
    <col min="12036" max="12037" width="12.5703125" style="406" customWidth="1"/>
    <col min="12038" max="12038" width="65.5703125" style="406" customWidth="1"/>
    <col min="12039" max="12039" width="13.42578125" style="406" customWidth="1"/>
    <col min="12040" max="12040" width="8.5703125" style="406" bestFit="1" customWidth="1"/>
    <col min="12041" max="12041" width="41.42578125" style="406" customWidth="1"/>
    <col min="12042" max="12042" width="10" style="406"/>
    <col min="12043" max="12043" width="12.140625" style="406" customWidth="1"/>
    <col min="12044" max="12044" width="10" style="406"/>
    <col min="12045" max="12045" width="16" style="406" customWidth="1"/>
    <col min="12046" max="12291" width="10" style="406"/>
    <col min="12292" max="12293" width="12.5703125" style="406" customWidth="1"/>
    <col min="12294" max="12294" width="65.5703125" style="406" customWidth="1"/>
    <col min="12295" max="12295" width="13.42578125" style="406" customWidth="1"/>
    <col min="12296" max="12296" width="8.5703125" style="406" bestFit="1" customWidth="1"/>
    <col min="12297" max="12297" width="41.42578125" style="406" customWidth="1"/>
    <col min="12298" max="12298" width="10" style="406"/>
    <col min="12299" max="12299" width="12.140625" style="406" customWidth="1"/>
    <col min="12300" max="12300" width="10" style="406"/>
    <col min="12301" max="12301" width="16" style="406" customWidth="1"/>
    <col min="12302" max="12547" width="10" style="406"/>
    <col min="12548" max="12549" width="12.5703125" style="406" customWidth="1"/>
    <col min="12550" max="12550" width="65.5703125" style="406" customWidth="1"/>
    <col min="12551" max="12551" width="13.42578125" style="406" customWidth="1"/>
    <col min="12552" max="12552" width="8.5703125" style="406" bestFit="1" customWidth="1"/>
    <col min="12553" max="12553" width="41.42578125" style="406" customWidth="1"/>
    <col min="12554" max="12554" width="10" style="406"/>
    <col min="12555" max="12555" width="12.140625" style="406" customWidth="1"/>
    <col min="12556" max="12556" width="10" style="406"/>
    <col min="12557" max="12557" width="16" style="406" customWidth="1"/>
    <col min="12558" max="12803" width="10" style="406"/>
    <col min="12804" max="12805" width="12.5703125" style="406" customWidth="1"/>
    <col min="12806" max="12806" width="65.5703125" style="406" customWidth="1"/>
    <col min="12807" max="12807" width="13.42578125" style="406" customWidth="1"/>
    <col min="12808" max="12808" width="8.5703125" style="406" bestFit="1" customWidth="1"/>
    <col min="12809" max="12809" width="41.42578125" style="406" customWidth="1"/>
    <col min="12810" max="12810" width="10" style="406"/>
    <col min="12811" max="12811" width="12.140625" style="406" customWidth="1"/>
    <col min="12812" max="12812" width="10" style="406"/>
    <col min="12813" max="12813" width="16" style="406" customWidth="1"/>
    <col min="12814" max="13059" width="10" style="406"/>
    <col min="13060" max="13061" width="12.5703125" style="406" customWidth="1"/>
    <col min="13062" max="13062" width="65.5703125" style="406" customWidth="1"/>
    <col min="13063" max="13063" width="13.42578125" style="406" customWidth="1"/>
    <col min="13064" max="13064" width="8.5703125" style="406" bestFit="1" customWidth="1"/>
    <col min="13065" max="13065" width="41.42578125" style="406" customWidth="1"/>
    <col min="13066" max="13066" width="10" style="406"/>
    <col min="13067" max="13067" width="12.140625" style="406" customWidth="1"/>
    <col min="13068" max="13068" width="10" style="406"/>
    <col min="13069" max="13069" width="16" style="406" customWidth="1"/>
    <col min="13070" max="13315" width="10" style="406"/>
    <col min="13316" max="13317" width="12.5703125" style="406" customWidth="1"/>
    <col min="13318" max="13318" width="65.5703125" style="406" customWidth="1"/>
    <col min="13319" max="13319" width="13.42578125" style="406" customWidth="1"/>
    <col min="13320" max="13320" width="8.5703125" style="406" bestFit="1" customWidth="1"/>
    <col min="13321" max="13321" width="41.42578125" style="406" customWidth="1"/>
    <col min="13322" max="13322" width="10" style="406"/>
    <col min="13323" max="13323" width="12.140625" style="406" customWidth="1"/>
    <col min="13324" max="13324" width="10" style="406"/>
    <col min="13325" max="13325" width="16" style="406" customWidth="1"/>
    <col min="13326" max="13571" width="10" style="406"/>
    <col min="13572" max="13573" width="12.5703125" style="406" customWidth="1"/>
    <col min="13574" max="13574" width="65.5703125" style="406" customWidth="1"/>
    <col min="13575" max="13575" width="13.42578125" style="406" customWidth="1"/>
    <col min="13576" max="13576" width="8.5703125" style="406" bestFit="1" customWidth="1"/>
    <col min="13577" max="13577" width="41.42578125" style="406" customWidth="1"/>
    <col min="13578" max="13578" width="10" style="406"/>
    <col min="13579" max="13579" width="12.140625" style="406" customWidth="1"/>
    <col min="13580" max="13580" width="10" style="406"/>
    <col min="13581" max="13581" width="16" style="406" customWidth="1"/>
    <col min="13582" max="13827" width="10" style="406"/>
    <col min="13828" max="13829" width="12.5703125" style="406" customWidth="1"/>
    <col min="13830" max="13830" width="65.5703125" style="406" customWidth="1"/>
    <col min="13831" max="13831" width="13.42578125" style="406" customWidth="1"/>
    <col min="13832" max="13832" width="8.5703125" style="406" bestFit="1" customWidth="1"/>
    <col min="13833" max="13833" width="41.42578125" style="406" customWidth="1"/>
    <col min="13834" max="13834" width="10" style="406"/>
    <col min="13835" max="13835" width="12.140625" style="406" customWidth="1"/>
    <col min="13836" max="13836" width="10" style="406"/>
    <col min="13837" max="13837" width="16" style="406" customWidth="1"/>
    <col min="13838" max="14083" width="10" style="406"/>
    <col min="14084" max="14085" width="12.5703125" style="406" customWidth="1"/>
    <col min="14086" max="14086" width="65.5703125" style="406" customWidth="1"/>
    <col min="14087" max="14087" width="13.42578125" style="406" customWidth="1"/>
    <col min="14088" max="14088" width="8.5703125" style="406" bestFit="1" customWidth="1"/>
    <col min="14089" max="14089" width="41.42578125" style="406" customWidth="1"/>
    <col min="14090" max="14090" width="10" style="406"/>
    <col min="14091" max="14091" width="12.140625" style="406" customWidth="1"/>
    <col min="14092" max="14092" width="10" style="406"/>
    <col min="14093" max="14093" width="16" style="406" customWidth="1"/>
    <col min="14094" max="14339" width="10" style="406"/>
    <col min="14340" max="14341" width="12.5703125" style="406" customWidth="1"/>
    <col min="14342" max="14342" width="65.5703125" style="406" customWidth="1"/>
    <col min="14343" max="14343" width="13.42578125" style="406" customWidth="1"/>
    <col min="14344" max="14344" width="8.5703125" style="406" bestFit="1" customWidth="1"/>
    <col min="14345" max="14345" width="41.42578125" style="406" customWidth="1"/>
    <col min="14346" max="14346" width="10" style="406"/>
    <col min="14347" max="14347" width="12.140625" style="406" customWidth="1"/>
    <col min="14348" max="14348" width="10" style="406"/>
    <col min="14349" max="14349" width="16" style="406" customWidth="1"/>
    <col min="14350" max="14595" width="10" style="406"/>
    <col min="14596" max="14597" width="12.5703125" style="406" customWidth="1"/>
    <col min="14598" max="14598" width="65.5703125" style="406" customWidth="1"/>
    <col min="14599" max="14599" width="13.42578125" style="406" customWidth="1"/>
    <col min="14600" max="14600" width="8.5703125" style="406" bestFit="1" customWidth="1"/>
    <col min="14601" max="14601" width="41.42578125" style="406" customWidth="1"/>
    <col min="14602" max="14602" width="10" style="406"/>
    <col min="14603" max="14603" width="12.140625" style="406" customWidth="1"/>
    <col min="14604" max="14604" width="10" style="406"/>
    <col min="14605" max="14605" width="16" style="406" customWidth="1"/>
    <col min="14606" max="14851" width="10" style="406"/>
    <col min="14852" max="14853" width="12.5703125" style="406" customWidth="1"/>
    <col min="14854" max="14854" width="65.5703125" style="406" customWidth="1"/>
    <col min="14855" max="14855" width="13.42578125" style="406" customWidth="1"/>
    <col min="14856" max="14856" width="8.5703125" style="406" bestFit="1" customWidth="1"/>
    <col min="14857" max="14857" width="41.42578125" style="406" customWidth="1"/>
    <col min="14858" max="14858" width="10" style="406"/>
    <col min="14859" max="14859" width="12.140625" style="406" customWidth="1"/>
    <col min="14860" max="14860" width="10" style="406"/>
    <col min="14861" max="14861" width="16" style="406" customWidth="1"/>
    <col min="14862" max="15107" width="10" style="406"/>
    <col min="15108" max="15109" width="12.5703125" style="406" customWidth="1"/>
    <col min="15110" max="15110" width="65.5703125" style="406" customWidth="1"/>
    <col min="15111" max="15111" width="13.42578125" style="406" customWidth="1"/>
    <col min="15112" max="15112" width="8.5703125" style="406" bestFit="1" customWidth="1"/>
    <col min="15113" max="15113" width="41.42578125" style="406" customWidth="1"/>
    <col min="15114" max="15114" width="10" style="406"/>
    <col min="15115" max="15115" width="12.140625" style="406" customWidth="1"/>
    <col min="15116" max="15116" width="10" style="406"/>
    <col min="15117" max="15117" width="16" style="406" customWidth="1"/>
    <col min="15118" max="15363" width="10" style="406"/>
    <col min="15364" max="15365" width="12.5703125" style="406" customWidth="1"/>
    <col min="15366" max="15366" width="65.5703125" style="406" customWidth="1"/>
    <col min="15367" max="15367" width="13.42578125" style="406" customWidth="1"/>
    <col min="15368" max="15368" width="8.5703125" style="406" bestFit="1" customWidth="1"/>
    <col min="15369" max="15369" width="41.42578125" style="406" customWidth="1"/>
    <col min="15370" max="15370" width="10" style="406"/>
    <col min="15371" max="15371" width="12.140625" style="406" customWidth="1"/>
    <col min="15372" max="15372" width="10" style="406"/>
    <col min="15373" max="15373" width="16" style="406" customWidth="1"/>
    <col min="15374" max="15619" width="10" style="406"/>
    <col min="15620" max="15621" width="12.5703125" style="406" customWidth="1"/>
    <col min="15622" max="15622" width="65.5703125" style="406" customWidth="1"/>
    <col min="15623" max="15623" width="13.42578125" style="406" customWidth="1"/>
    <col min="15624" max="15624" width="8.5703125" style="406" bestFit="1" customWidth="1"/>
    <col min="15625" max="15625" width="41.42578125" style="406" customWidth="1"/>
    <col min="15626" max="15626" width="10" style="406"/>
    <col min="15627" max="15627" width="12.140625" style="406" customWidth="1"/>
    <col min="15628" max="15628" width="10" style="406"/>
    <col min="15629" max="15629" width="16" style="406" customWidth="1"/>
    <col min="15630" max="15875" width="10" style="406"/>
    <col min="15876" max="15877" width="12.5703125" style="406" customWidth="1"/>
    <col min="15878" max="15878" width="65.5703125" style="406" customWidth="1"/>
    <col min="15879" max="15879" width="13.42578125" style="406" customWidth="1"/>
    <col min="15880" max="15880" width="8.5703125" style="406" bestFit="1" customWidth="1"/>
    <col min="15881" max="15881" width="41.42578125" style="406" customWidth="1"/>
    <col min="15882" max="15882" width="10" style="406"/>
    <col min="15883" max="15883" width="12.140625" style="406" customWidth="1"/>
    <col min="15884" max="15884" width="10" style="406"/>
    <col min="15885" max="15885" width="16" style="406" customWidth="1"/>
    <col min="15886" max="16131" width="10" style="406"/>
    <col min="16132" max="16133" width="12.5703125" style="406" customWidth="1"/>
    <col min="16134" max="16134" width="65.5703125" style="406" customWidth="1"/>
    <col min="16135" max="16135" width="13.42578125" style="406" customWidth="1"/>
    <col min="16136" max="16136" width="8.5703125" style="406" bestFit="1" customWidth="1"/>
    <col min="16137" max="16137" width="41.42578125" style="406" customWidth="1"/>
    <col min="16138" max="16138" width="10" style="406"/>
    <col min="16139" max="16139" width="12.140625" style="406" customWidth="1"/>
    <col min="16140" max="16140" width="10" style="406"/>
    <col min="16141" max="16141" width="16" style="406" customWidth="1"/>
    <col min="16142" max="16384" width="10" style="406"/>
  </cols>
  <sheetData>
    <row r="1" spans="1:13" ht="34.5" hidden="1" customHeight="1" x14ac:dyDescent="0.25">
      <c r="A1" s="401"/>
      <c r="B1" s="401"/>
      <c r="C1" s="402"/>
      <c r="D1" s="401" t="s">
        <v>379</v>
      </c>
      <c r="E1" s="401"/>
      <c r="F1" s="403"/>
      <c r="G1" s="404"/>
      <c r="I1" s="405"/>
      <c r="J1" s="405"/>
      <c r="K1" s="405"/>
      <c r="L1" s="405"/>
    </row>
    <row r="2" spans="1:13" ht="34.5" hidden="1" customHeight="1" x14ac:dyDescent="0.25">
      <c r="A2" s="401"/>
      <c r="B2" s="401"/>
      <c r="C2" s="402"/>
      <c r="D2" s="401" t="s">
        <v>380</v>
      </c>
      <c r="E2" s="401"/>
      <c r="F2" s="403"/>
      <c r="G2" s="404"/>
      <c r="I2" s="405"/>
      <c r="J2" s="405"/>
      <c r="K2" s="405"/>
      <c r="L2" s="405"/>
    </row>
    <row r="3" spans="1:13" ht="34.5" hidden="1" customHeight="1" x14ac:dyDescent="0.25">
      <c r="A3" s="401"/>
      <c r="B3" s="401"/>
      <c r="C3" s="402"/>
      <c r="D3" s="401" t="s">
        <v>381</v>
      </c>
      <c r="E3" s="401"/>
      <c r="F3" s="403"/>
      <c r="G3" s="404"/>
      <c r="I3" s="405"/>
      <c r="J3" s="405"/>
      <c r="K3" s="405"/>
      <c r="L3" s="405"/>
    </row>
    <row r="4" spans="1:13" ht="34.5" hidden="1" customHeight="1" x14ac:dyDescent="0.25">
      <c r="A4" s="401"/>
      <c r="B4" s="401"/>
      <c r="C4" s="402"/>
      <c r="D4" s="401" t="s">
        <v>382</v>
      </c>
      <c r="E4" s="401"/>
      <c r="F4" s="403"/>
      <c r="G4" s="404"/>
      <c r="I4" s="405"/>
      <c r="J4" s="405"/>
      <c r="K4" s="405"/>
      <c r="L4" s="405"/>
    </row>
    <row r="5" spans="1:13" ht="34.5" customHeight="1" thickTop="1" x14ac:dyDescent="0.25">
      <c r="A5" s="407" t="s">
        <v>383</v>
      </c>
      <c r="B5" s="407" t="s">
        <v>891</v>
      </c>
      <c r="C5" s="407" t="s">
        <v>384</v>
      </c>
      <c r="D5" s="407" t="s">
        <v>385</v>
      </c>
      <c r="E5" s="408" t="s">
        <v>386</v>
      </c>
      <c r="F5" s="407" t="s">
        <v>387</v>
      </c>
      <c r="G5" s="408" t="s">
        <v>388</v>
      </c>
      <c r="H5" s="408" t="s">
        <v>389</v>
      </c>
      <c r="I5" s="407" t="s">
        <v>390</v>
      </c>
      <c r="J5" s="407" t="s">
        <v>391</v>
      </c>
      <c r="K5" s="407" t="s">
        <v>392</v>
      </c>
      <c r="L5" s="408" t="s">
        <v>393</v>
      </c>
      <c r="M5" s="407" t="s">
        <v>340</v>
      </c>
    </row>
    <row r="6" spans="1:13" ht="34.5" customHeight="1" x14ac:dyDescent="0.25">
      <c r="A6" s="409">
        <v>1</v>
      </c>
      <c r="B6" s="410" t="s">
        <v>892</v>
      </c>
      <c r="C6" s="411">
        <v>42644</v>
      </c>
      <c r="D6" s="412" t="s">
        <v>380</v>
      </c>
      <c r="E6" s="413" t="s">
        <v>893</v>
      </c>
      <c r="F6" s="414" t="s">
        <v>894</v>
      </c>
      <c r="G6" s="415" t="s">
        <v>895</v>
      </c>
      <c r="H6" s="416" t="s">
        <v>896</v>
      </c>
      <c r="I6" s="417" t="s">
        <v>394</v>
      </c>
      <c r="J6" s="417" t="s">
        <v>897</v>
      </c>
      <c r="K6" s="418">
        <v>1</v>
      </c>
      <c r="L6" s="419">
        <v>42675</v>
      </c>
      <c r="M6" s="416" t="s">
        <v>898</v>
      </c>
    </row>
    <row r="7" spans="1:13" ht="38.25" customHeight="1" x14ac:dyDescent="0.25">
      <c r="A7" s="409">
        <v>2</v>
      </c>
      <c r="B7" s="410" t="s">
        <v>899</v>
      </c>
      <c r="C7" s="411">
        <v>42644</v>
      </c>
      <c r="D7" s="412" t="s">
        <v>381</v>
      </c>
      <c r="E7" s="413" t="s">
        <v>900</v>
      </c>
      <c r="F7" s="414" t="s">
        <v>901</v>
      </c>
      <c r="G7" s="415" t="s">
        <v>895</v>
      </c>
      <c r="H7" s="416" t="s">
        <v>902</v>
      </c>
      <c r="I7" s="417" t="s">
        <v>394</v>
      </c>
      <c r="J7" s="417" t="s">
        <v>903</v>
      </c>
      <c r="K7" s="418">
        <v>1</v>
      </c>
      <c r="L7" s="419">
        <v>42675</v>
      </c>
      <c r="M7" s="416" t="s">
        <v>904</v>
      </c>
    </row>
    <row r="8" spans="1:13" ht="42" customHeight="1" x14ac:dyDescent="0.25">
      <c r="A8" s="409">
        <v>3</v>
      </c>
      <c r="B8" s="410" t="s">
        <v>899</v>
      </c>
      <c r="C8" s="411">
        <v>42644</v>
      </c>
      <c r="D8" s="412" t="s">
        <v>382</v>
      </c>
      <c r="E8" s="413" t="s">
        <v>905</v>
      </c>
      <c r="F8" s="420" t="s">
        <v>906</v>
      </c>
      <c r="G8" s="415" t="s">
        <v>895</v>
      </c>
      <c r="H8" s="416" t="s">
        <v>907</v>
      </c>
      <c r="I8" s="417" t="s">
        <v>394</v>
      </c>
      <c r="J8" s="417" t="s">
        <v>903</v>
      </c>
      <c r="K8" s="418">
        <v>1</v>
      </c>
      <c r="L8" s="419">
        <v>42675</v>
      </c>
      <c r="M8" s="416" t="s">
        <v>904</v>
      </c>
    </row>
    <row r="9" spans="1:13" ht="41.25" customHeight="1" x14ac:dyDescent="0.25">
      <c r="A9" s="409">
        <v>4</v>
      </c>
      <c r="B9" s="410" t="s">
        <v>899</v>
      </c>
      <c r="C9" s="411">
        <v>42644</v>
      </c>
      <c r="D9" s="412" t="s">
        <v>381</v>
      </c>
      <c r="E9" s="413" t="s">
        <v>908</v>
      </c>
      <c r="F9" s="414" t="s">
        <v>909</v>
      </c>
      <c r="G9" s="415" t="s">
        <v>895</v>
      </c>
      <c r="H9" s="416" t="s">
        <v>910</v>
      </c>
      <c r="I9" s="417" t="s">
        <v>394</v>
      </c>
      <c r="J9" s="417" t="s">
        <v>911</v>
      </c>
      <c r="K9" s="418">
        <v>1</v>
      </c>
      <c r="L9" s="419">
        <v>42736</v>
      </c>
      <c r="M9" s="416"/>
    </row>
    <row r="10" spans="1:13" ht="34.5" customHeight="1" x14ac:dyDescent="0.25">
      <c r="A10" s="409">
        <v>5</v>
      </c>
      <c r="B10" s="410" t="s">
        <v>899</v>
      </c>
      <c r="C10" s="411">
        <v>42644</v>
      </c>
      <c r="D10" s="412" t="s">
        <v>381</v>
      </c>
      <c r="E10" s="413" t="s">
        <v>908</v>
      </c>
      <c r="F10" s="416" t="s">
        <v>912</v>
      </c>
      <c r="G10" s="415" t="s">
        <v>895</v>
      </c>
      <c r="H10" s="416" t="s">
        <v>913</v>
      </c>
      <c r="I10" s="417" t="s">
        <v>394</v>
      </c>
      <c r="J10" s="417" t="s">
        <v>911</v>
      </c>
      <c r="K10" s="418">
        <v>1</v>
      </c>
      <c r="L10" s="419">
        <v>42736</v>
      </c>
      <c r="M10" s="416"/>
    </row>
    <row r="11" spans="1:13" ht="34.5" customHeight="1" x14ac:dyDescent="0.25">
      <c r="A11" s="409">
        <v>6</v>
      </c>
      <c r="B11" s="410" t="s">
        <v>899</v>
      </c>
      <c r="C11" s="411">
        <v>42644</v>
      </c>
      <c r="D11" s="412" t="s">
        <v>380</v>
      </c>
      <c r="E11" s="413" t="s">
        <v>908</v>
      </c>
      <c r="F11" s="416" t="s">
        <v>914</v>
      </c>
      <c r="G11" s="415" t="s">
        <v>895</v>
      </c>
      <c r="H11" s="416" t="s">
        <v>915</v>
      </c>
      <c r="I11" s="417" t="s">
        <v>395</v>
      </c>
      <c r="J11" s="417" t="s">
        <v>916</v>
      </c>
      <c r="K11" s="418">
        <v>1</v>
      </c>
      <c r="L11" s="419">
        <v>42736</v>
      </c>
      <c r="M11" s="416" t="s">
        <v>917</v>
      </c>
    </row>
    <row r="12" spans="1:13" ht="34.5" customHeight="1" x14ac:dyDescent="0.25">
      <c r="A12" s="409">
        <v>7</v>
      </c>
      <c r="B12" s="410" t="s">
        <v>899</v>
      </c>
      <c r="C12" s="411">
        <v>42644</v>
      </c>
      <c r="D12" s="412" t="s">
        <v>382</v>
      </c>
      <c r="E12" s="413" t="s">
        <v>905</v>
      </c>
      <c r="F12" s="420" t="s">
        <v>918</v>
      </c>
      <c r="G12" s="415" t="s">
        <v>895</v>
      </c>
      <c r="H12" s="416" t="s">
        <v>919</v>
      </c>
      <c r="I12" s="417" t="s">
        <v>394</v>
      </c>
      <c r="J12" s="417" t="s">
        <v>911</v>
      </c>
      <c r="K12" s="418">
        <v>1</v>
      </c>
      <c r="L12" s="419">
        <v>42675</v>
      </c>
      <c r="M12" s="416" t="s">
        <v>920</v>
      </c>
    </row>
    <row r="13" spans="1:13" ht="46.5" customHeight="1" x14ac:dyDescent="0.25">
      <c r="A13" s="409">
        <v>8</v>
      </c>
      <c r="B13" s="410" t="s">
        <v>899</v>
      </c>
      <c r="C13" s="411">
        <v>42644</v>
      </c>
      <c r="D13" s="412" t="s">
        <v>380</v>
      </c>
      <c r="E13" s="413" t="s">
        <v>908</v>
      </c>
      <c r="F13" s="420" t="s">
        <v>921</v>
      </c>
      <c r="G13" s="415" t="s">
        <v>895</v>
      </c>
      <c r="H13" s="416" t="s">
        <v>922</v>
      </c>
      <c r="I13" s="417" t="s">
        <v>923</v>
      </c>
      <c r="J13" s="417" t="s">
        <v>911</v>
      </c>
      <c r="K13" s="418">
        <v>1</v>
      </c>
      <c r="L13" s="419">
        <v>42736</v>
      </c>
      <c r="M13" s="416"/>
    </row>
    <row r="14" spans="1:13" ht="38.25" x14ac:dyDescent="0.25">
      <c r="A14" s="409">
        <v>9</v>
      </c>
      <c r="B14" s="410" t="s">
        <v>899</v>
      </c>
      <c r="C14" s="411">
        <v>42644</v>
      </c>
      <c r="D14" s="412" t="s">
        <v>380</v>
      </c>
      <c r="E14" s="413" t="s">
        <v>908</v>
      </c>
      <c r="F14" s="416" t="s">
        <v>924</v>
      </c>
      <c r="G14" s="415" t="s">
        <v>895</v>
      </c>
      <c r="H14" s="416" t="s">
        <v>910</v>
      </c>
      <c r="I14" s="417" t="s">
        <v>394</v>
      </c>
      <c r="J14" s="417" t="s">
        <v>911</v>
      </c>
      <c r="K14" s="418">
        <v>1</v>
      </c>
      <c r="L14" s="419">
        <v>42736</v>
      </c>
      <c r="M14" s="416" t="s">
        <v>925</v>
      </c>
    </row>
    <row r="15" spans="1:13" ht="34.5" customHeight="1" x14ac:dyDescent="0.25">
      <c r="A15" s="409">
        <v>10</v>
      </c>
      <c r="B15" s="410" t="s">
        <v>899</v>
      </c>
      <c r="C15" s="411">
        <v>42644</v>
      </c>
      <c r="D15" s="412" t="s">
        <v>380</v>
      </c>
      <c r="E15" s="421" t="s">
        <v>908</v>
      </c>
      <c r="F15" s="416" t="s">
        <v>926</v>
      </c>
      <c r="G15" s="422" t="s">
        <v>895</v>
      </c>
      <c r="H15" s="416" t="s">
        <v>927</v>
      </c>
      <c r="I15" s="423" t="s">
        <v>395</v>
      </c>
      <c r="J15" s="423" t="s">
        <v>928</v>
      </c>
      <c r="K15" s="424">
        <v>0</v>
      </c>
      <c r="L15" s="423"/>
      <c r="M15" s="416" t="s">
        <v>929</v>
      </c>
    </row>
    <row r="16" spans="1:13" x14ac:dyDescent="0.25">
      <c r="A16" s="409">
        <v>11</v>
      </c>
      <c r="B16" s="410" t="s">
        <v>899</v>
      </c>
      <c r="C16" s="411">
        <v>42644</v>
      </c>
      <c r="D16" s="412" t="s">
        <v>380</v>
      </c>
      <c r="E16" s="421" t="s">
        <v>930</v>
      </c>
      <c r="F16" s="416" t="s">
        <v>931</v>
      </c>
      <c r="G16" s="422" t="s">
        <v>895</v>
      </c>
      <c r="H16" s="416"/>
      <c r="I16" s="423" t="s">
        <v>394</v>
      </c>
      <c r="J16" s="423" t="s">
        <v>932</v>
      </c>
      <c r="K16" s="424">
        <v>0</v>
      </c>
      <c r="L16" s="423"/>
      <c r="M16" s="416"/>
    </row>
    <row r="17" spans="1:13" ht="34.5" customHeight="1" x14ac:dyDescent="0.25">
      <c r="A17" s="409">
        <v>12</v>
      </c>
      <c r="B17" s="410" t="s">
        <v>899</v>
      </c>
      <c r="C17" s="411">
        <v>42644</v>
      </c>
      <c r="D17" s="412" t="s">
        <v>380</v>
      </c>
      <c r="E17" s="425" t="s">
        <v>933</v>
      </c>
      <c r="F17" s="416" t="s">
        <v>934</v>
      </c>
      <c r="G17" s="415" t="s">
        <v>895</v>
      </c>
      <c r="H17" s="416" t="s">
        <v>935</v>
      </c>
      <c r="I17" s="417" t="s">
        <v>394</v>
      </c>
      <c r="J17" s="417" t="s">
        <v>903</v>
      </c>
      <c r="K17" s="418">
        <v>1</v>
      </c>
      <c r="L17" s="417"/>
      <c r="M17" s="416" t="s">
        <v>936</v>
      </c>
    </row>
    <row r="18" spans="1:13" ht="34.5" customHeight="1" x14ac:dyDescent="0.25">
      <c r="A18" s="409">
        <v>13</v>
      </c>
      <c r="B18" s="426" t="s">
        <v>937</v>
      </c>
      <c r="C18" s="427">
        <v>42686</v>
      </c>
      <c r="D18" s="412" t="s">
        <v>380</v>
      </c>
      <c r="E18" s="412" t="s">
        <v>938</v>
      </c>
      <c r="F18" s="416" t="s">
        <v>939</v>
      </c>
      <c r="G18" s="428" t="s">
        <v>895</v>
      </c>
      <c r="H18" s="416"/>
      <c r="I18" s="423"/>
      <c r="J18" s="423"/>
      <c r="K18" s="424">
        <v>1</v>
      </c>
      <c r="L18" s="423"/>
      <c r="M18" s="416" t="s">
        <v>925</v>
      </c>
    </row>
    <row r="19" spans="1:13" ht="34.5" customHeight="1" x14ac:dyDescent="0.25">
      <c r="A19" s="409">
        <v>14</v>
      </c>
      <c r="B19" s="426" t="s">
        <v>937</v>
      </c>
      <c r="C19" s="427">
        <v>42686</v>
      </c>
      <c r="D19" s="412" t="s">
        <v>380</v>
      </c>
      <c r="E19" s="425" t="s">
        <v>938</v>
      </c>
      <c r="F19" s="416" t="s">
        <v>940</v>
      </c>
      <c r="G19" s="429" t="s">
        <v>895</v>
      </c>
      <c r="H19" s="416" t="s">
        <v>941</v>
      </c>
      <c r="I19" s="417" t="s">
        <v>395</v>
      </c>
      <c r="J19" s="417" t="s">
        <v>911</v>
      </c>
      <c r="K19" s="418">
        <v>1</v>
      </c>
      <c r="L19" s="419">
        <v>42736</v>
      </c>
      <c r="M19" s="416"/>
    </row>
    <row r="20" spans="1:13" ht="38.25" x14ac:dyDescent="0.25">
      <c r="A20" s="409">
        <v>15</v>
      </c>
      <c r="B20" s="426" t="s">
        <v>937</v>
      </c>
      <c r="C20" s="427">
        <v>42686</v>
      </c>
      <c r="D20" s="412" t="s">
        <v>381</v>
      </c>
      <c r="E20" s="425" t="s">
        <v>908</v>
      </c>
      <c r="F20" s="416" t="s">
        <v>942</v>
      </c>
      <c r="G20" s="415" t="s">
        <v>895</v>
      </c>
      <c r="H20" s="416" t="s">
        <v>943</v>
      </c>
      <c r="I20" s="417" t="s">
        <v>394</v>
      </c>
      <c r="J20" s="417" t="s">
        <v>911</v>
      </c>
      <c r="K20" s="418">
        <v>1</v>
      </c>
      <c r="L20" s="419">
        <v>43070</v>
      </c>
      <c r="M20" s="416" t="s">
        <v>944</v>
      </c>
    </row>
    <row r="21" spans="1:13" ht="34.5" customHeight="1" x14ac:dyDescent="0.25">
      <c r="A21" s="409">
        <v>16</v>
      </c>
      <c r="B21" s="426" t="s">
        <v>937</v>
      </c>
      <c r="C21" s="427">
        <v>42686</v>
      </c>
      <c r="D21" s="412" t="s">
        <v>381</v>
      </c>
      <c r="E21" s="425" t="s">
        <v>908</v>
      </c>
      <c r="F21" s="416" t="s">
        <v>945</v>
      </c>
      <c r="G21" s="415" t="s">
        <v>946</v>
      </c>
      <c r="H21" s="416" t="s">
        <v>947</v>
      </c>
      <c r="I21" s="417" t="s">
        <v>395</v>
      </c>
      <c r="J21" s="417" t="s">
        <v>911</v>
      </c>
      <c r="K21" s="418">
        <v>1</v>
      </c>
      <c r="L21" s="419">
        <v>42736</v>
      </c>
      <c r="M21" s="416" t="s">
        <v>948</v>
      </c>
    </row>
    <row r="22" spans="1:13" ht="34.5" customHeight="1" x14ac:dyDescent="0.25">
      <c r="A22" s="409">
        <v>17</v>
      </c>
      <c r="B22" s="426" t="s">
        <v>937</v>
      </c>
      <c r="C22" s="427">
        <v>42686</v>
      </c>
      <c r="D22" s="412" t="s">
        <v>381</v>
      </c>
      <c r="E22" s="412" t="s">
        <v>908</v>
      </c>
      <c r="F22" s="416" t="s">
        <v>949</v>
      </c>
      <c r="G22" s="422" t="s">
        <v>895</v>
      </c>
      <c r="H22" s="416"/>
      <c r="I22" s="423"/>
      <c r="J22" s="423"/>
      <c r="K22" s="424">
        <v>1</v>
      </c>
      <c r="L22" s="423"/>
      <c r="M22" s="416" t="s">
        <v>950</v>
      </c>
    </row>
    <row r="23" spans="1:13" ht="34.5" customHeight="1" x14ac:dyDescent="0.25">
      <c r="A23" s="409">
        <v>18</v>
      </c>
      <c r="B23" s="426" t="s">
        <v>937</v>
      </c>
      <c r="C23" s="427">
        <v>42686</v>
      </c>
      <c r="D23" s="412" t="s">
        <v>380</v>
      </c>
      <c r="E23" s="412" t="s">
        <v>951</v>
      </c>
      <c r="F23" s="416" t="s">
        <v>952</v>
      </c>
      <c r="G23" s="422" t="s">
        <v>895</v>
      </c>
      <c r="H23" s="416"/>
      <c r="I23" s="423"/>
      <c r="J23" s="423"/>
      <c r="K23" s="424">
        <v>0</v>
      </c>
      <c r="L23" s="423"/>
      <c r="M23" s="416" t="s">
        <v>953</v>
      </c>
    </row>
    <row r="24" spans="1:13" ht="34.5" customHeight="1" x14ac:dyDescent="0.25">
      <c r="A24" s="409">
        <v>19</v>
      </c>
      <c r="B24" s="426" t="s">
        <v>937</v>
      </c>
      <c r="C24" s="427">
        <v>42686</v>
      </c>
      <c r="D24" s="412" t="s">
        <v>380</v>
      </c>
      <c r="E24" s="412" t="s">
        <v>954</v>
      </c>
      <c r="F24" s="416" t="s">
        <v>955</v>
      </c>
      <c r="G24" s="422" t="s">
        <v>895</v>
      </c>
      <c r="H24" s="416"/>
      <c r="I24" s="423"/>
      <c r="J24" s="423"/>
      <c r="K24" s="424">
        <v>0</v>
      </c>
      <c r="L24" s="423"/>
      <c r="M24" s="416" t="s">
        <v>956</v>
      </c>
    </row>
    <row r="25" spans="1:13" ht="34.5" customHeight="1" x14ac:dyDescent="0.25">
      <c r="A25" s="409">
        <v>20</v>
      </c>
      <c r="B25" s="426" t="s">
        <v>937</v>
      </c>
      <c r="C25" s="427">
        <v>42686</v>
      </c>
      <c r="D25" s="412" t="s">
        <v>381</v>
      </c>
      <c r="E25" s="425" t="s">
        <v>957</v>
      </c>
      <c r="F25" s="416" t="s">
        <v>958</v>
      </c>
      <c r="G25" s="415" t="s">
        <v>895</v>
      </c>
      <c r="H25" s="416" t="s">
        <v>959</v>
      </c>
      <c r="I25" s="417" t="s">
        <v>394</v>
      </c>
      <c r="J25" s="417" t="s">
        <v>911</v>
      </c>
      <c r="K25" s="418">
        <v>1</v>
      </c>
      <c r="L25" s="419"/>
      <c r="M25" s="416"/>
    </row>
    <row r="26" spans="1:13" ht="34.5" customHeight="1" x14ac:dyDescent="0.25">
      <c r="A26" s="409">
        <v>21</v>
      </c>
      <c r="B26" s="426" t="s">
        <v>937</v>
      </c>
      <c r="C26" s="427">
        <v>42686</v>
      </c>
      <c r="D26" s="412" t="s">
        <v>380</v>
      </c>
      <c r="E26" s="425" t="s">
        <v>951</v>
      </c>
      <c r="F26" s="416" t="s">
        <v>960</v>
      </c>
      <c r="G26" s="415" t="s">
        <v>895</v>
      </c>
      <c r="H26" s="416" t="s">
        <v>947</v>
      </c>
      <c r="I26" s="417" t="s">
        <v>395</v>
      </c>
      <c r="J26" s="417" t="s">
        <v>911</v>
      </c>
      <c r="K26" s="418">
        <v>1</v>
      </c>
      <c r="L26" s="419">
        <v>42736</v>
      </c>
      <c r="M26" s="416" t="s">
        <v>925</v>
      </c>
    </row>
    <row r="27" spans="1:13" ht="34.5" customHeight="1" x14ac:dyDescent="0.25">
      <c r="A27" s="409">
        <v>22</v>
      </c>
      <c r="B27" s="426" t="s">
        <v>937</v>
      </c>
      <c r="C27" s="427">
        <v>42686</v>
      </c>
      <c r="D27" s="412" t="s">
        <v>380</v>
      </c>
      <c r="E27" s="425" t="s">
        <v>951</v>
      </c>
      <c r="F27" s="416" t="s">
        <v>961</v>
      </c>
      <c r="G27" s="415" t="s">
        <v>895</v>
      </c>
      <c r="H27" s="416" t="s">
        <v>947</v>
      </c>
      <c r="I27" s="417" t="s">
        <v>395</v>
      </c>
      <c r="J27" s="417" t="s">
        <v>911</v>
      </c>
      <c r="K27" s="418">
        <v>1</v>
      </c>
      <c r="L27" s="419">
        <v>42736</v>
      </c>
      <c r="M27" s="416" t="s">
        <v>948</v>
      </c>
    </row>
    <row r="28" spans="1:13" ht="34.5" customHeight="1" x14ac:dyDescent="0.25">
      <c r="A28" s="409">
        <v>23</v>
      </c>
      <c r="B28" s="426" t="s">
        <v>937</v>
      </c>
      <c r="C28" s="427">
        <v>42686</v>
      </c>
      <c r="D28" s="412" t="s">
        <v>380</v>
      </c>
      <c r="E28" s="425" t="s">
        <v>908</v>
      </c>
      <c r="F28" s="416" t="s">
        <v>962</v>
      </c>
      <c r="G28" s="415" t="s">
        <v>895</v>
      </c>
      <c r="H28" s="416" t="s">
        <v>963</v>
      </c>
      <c r="I28" s="417" t="s">
        <v>394</v>
      </c>
      <c r="J28" s="417" t="s">
        <v>911</v>
      </c>
      <c r="K28" s="418">
        <v>1</v>
      </c>
      <c r="L28" s="419">
        <v>42736</v>
      </c>
      <c r="M28" s="416"/>
    </row>
    <row r="29" spans="1:13" ht="63.75" x14ac:dyDescent="0.25">
      <c r="A29" s="409">
        <v>24</v>
      </c>
      <c r="B29" s="426" t="s">
        <v>937</v>
      </c>
      <c r="C29" s="427">
        <v>42686</v>
      </c>
      <c r="D29" s="412" t="s">
        <v>381</v>
      </c>
      <c r="E29" s="425" t="s">
        <v>908</v>
      </c>
      <c r="F29" s="416" t="s">
        <v>964</v>
      </c>
      <c r="G29" s="415" t="s">
        <v>895</v>
      </c>
      <c r="H29" s="416" t="s">
        <v>965</v>
      </c>
      <c r="I29" s="417" t="s">
        <v>394</v>
      </c>
      <c r="J29" s="417" t="s">
        <v>911</v>
      </c>
      <c r="K29" s="418">
        <v>1</v>
      </c>
      <c r="L29" s="419">
        <v>42736</v>
      </c>
      <c r="M29" s="416"/>
    </row>
    <row r="30" spans="1:13" ht="39" customHeight="1" x14ac:dyDescent="0.25">
      <c r="A30" s="409">
        <v>25</v>
      </c>
      <c r="B30" s="426" t="s">
        <v>937</v>
      </c>
      <c r="C30" s="427">
        <v>42686</v>
      </c>
      <c r="D30" s="412" t="s">
        <v>381</v>
      </c>
      <c r="E30" s="412" t="s">
        <v>908</v>
      </c>
      <c r="F30" s="416" t="s">
        <v>966</v>
      </c>
      <c r="G30" s="422" t="s">
        <v>895</v>
      </c>
      <c r="H30" s="416" t="s">
        <v>967</v>
      </c>
      <c r="I30" s="423" t="s">
        <v>395</v>
      </c>
      <c r="J30" s="423" t="s">
        <v>911</v>
      </c>
      <c r="K30" s="424">
        <v>1</v>
      </c>
      <c r="L30" s="423"/>
      <c r="M30" s="416" t="s">
        <v>968</v>
      </c>
    </row>
    <row r="31" spans="1:13" ht="38.25" x14ac:dyDescent="0.25">
      <c r="A31" s="409">
        <v>26</v>
      </c>
      <c r="B31" s="426" t="s">
        <v>969</v>
      </c>
      <c r="C31" s="427">
        <v>42738</v>
      </c>
      <c r="D31" s="412" t="s">
        <v>381</v>
      </c>
      <c r="E31" s="412" t="s">
        <v>970</v>
      </c>
      <c r="F31" s="416" t="s">
        <v>971</v>
      </c>
      <c r="G31" s="422" t="s">
        <v>895</v>
      </c>
      <c r="H31" s="416" t="s">
        <v>972</v>
      </c>
      <c r="I31" s="423" t="s">
        <v>394</v>
      </c>
      <c r="J31" s="428" t="s">
        <v>973</v>
      </c>
      <c r="K31" s="424">
        <v>1</v>
      </c>
      <c r="L31" s="423"/>
      <c r="M31" s="416"/>
    </row>
    <row r="32" spans="1:13" ht="34.5" customHeight="1" x14ac:dyDescent="0.25">
      <c r="A32" s="409">
        <v>27</v>
      </c>
      <c r="B32" s="426" t="s">
        <v>969</v>
      </c>
      <c r="C32" s="427">
        <v>42738</v>
      </c>
      <c r="D32" s="412" t="s">
        <v>381</v>
      </c>
      <c r="E32" s="425" t="s">
        <v>908</v>
      </c>
      <c r="F32" s="416" t="s">
        <v>974</v>
      </c>
      <c r="G32" s="415" t="s">
        <v>895</v>
      </c>
      <c r="H32" s="416" t="s">
        <v>975</v>
      </c>
      <c r="I32" s="417" t="s">
        <v>395</v>
      </c>
      <c r="J32" s="417" t="s">
        <v>911</v>
      </c>
      <c r="K32" s="418">
        <v>1</v>
      </c>
      <c r="L32" s="419">
        <v>42736</v>
      </c>
      <c r="M32" s="416" t="s">
        <v>976</v>
      </c>
    </row>
    <row r="33" spans="1:13" ht="51" x14ac:dyDescent="0.25">
      <c r="A33" s="409">
        <v>28</v>
      </c>
      <c r="B33" s="426" t="s">
        <v>969</v>
      </c>
      <c r="C33" s="427">
        <v>42738</v>
      </c>
      <c r="D33" s="412" t="s">
        <v>381</v>
      </c>
      <c r="E33" s="425" t="s">
        <v>908</v>
      </c>
      <c r="F33" s="416" t="s">
        <v>977</v>
      </c>
      <c r="G33" s="415" t="s">
        <v>895</v>
      </c>
      <c r="H33" s="416" t="s">
        <v>978</v>
      </c>
      <c r="I33" s="417" t="s">
        <v>394</v>
      </c>
      <c r="J33" s="417" t="s">
        <v>979</v>
      </c>
      <c r="K33" s="418">
        <v>1</v>
      </c>
      <c r="L33" s="417"/>
      <c r="M33" s="416"/>
    </row>
    <row r="34" spans="1:13" ht="38.25" x14ac:dyDescent="0.25">
      <c r="A34" s="409">
        <v>29</v>
      </c>
      <c r="B34" s="426" t="s">
        <v>969</v>
      </c>
      <c r="C34" s="427">
        <v>42738</v>
      </c>
      <c r="D34" s="412" t="s">
        <v>380</v>
      </c>
      <c r="E34" s="425" t="s">
        <v>908</v>
      </c>
      <c r="F34" s="416" t="s">
        <v>980</v>
      </c>
      <c r="G34" s="415" t="s">
        <v>895</v>
      </c>
      <c r="H34" s="416" t="s">
        <v>981</v>
      </c>
      <c r="I34" s="417" t="s">
        <v>394</v>
      </c>
      <c r="J34" s="417" t="s">
        <v>911</v>
      </c>
      <c r="K34" s="418">
        <v>1</v>
      </c>
      <c r="L34" s="417"/>
      <c r="M34" s="416"/>
    </row>
    <row r="35" spans="1:13" ht="34.5" customHeight="1" x14ac:dyDescent="0.25">
      <c r="A35" s="409">
        <v>30</v>
      </c>
      <c r="B35" s="426" t="s">
        <v>969</v>
      </c>
      <c r="C35" s="427">
        <v>42738</v>
      </c>
      <c r="D35" s="412" t="s">
        <v>382</v>
      </c>
      <c r="E35" s="412" t="s">
        <v>908</v>
      </c>
      <c r="F35" s="416" t="s">
        <v>982</v>
      </c>
      <c r="G35" s="422" t="s">
        <v>895</v>
      </c>
      <c r="H35" s="416"/>
      <c r="I35" s="423"/>
      <c r="J35" s="423"/>
      <c r="K35" s="424">
        <v>1</v>
      </c>
      <c r="L35" s="423"/>
      <c r="M35" s="416" t="s">
        <v>983</v>
      </c>
    </row>
    <row r="36" spans="1:13" ht="34.5" customHeight="1" x14ac:dyDescent="0.25">
      <c r="A36" s="409">
        <v>31</v>
      </c>
      <c r="B36" s="426" t="s">
        <v>969</v>
      </c>
      <c r="C36" s="427">
        <v>42738</v>
      </c>
      <c r="D36" s="412" t="s">
        <v>381</v>
      </c>
      <c r="E36" s="425" t="s">
        <v>908</v>
      </c>
      <c r="F36" s="416" t="s">
        <v>984</v>
      </c>
      <c r="G36" s="415" t="s">
        <v>895</v>
      </c>
      <c r="H36" s="416" t="s">
        <v>985</v>
      </c>
      <c r="I36" s="417"/>
      <c r="J36" s="417"/>
      <c r="K36" s="418">
        <v>1</v>
      </c>
      <c r="L36" s="417"/>
      <c r="M36" s="416" t="s">
        <v>986</v>
      </c>
    </row>
    <row r="37" spans="1:13" ht="34.5" customHeight="1" x14ac:dyDescent="0.25">
      <c r="A37" s="409">
        <v>32</v>
      </c>
      <c r="B37" s="426" t="s">
        <v>969</v>
      </c>
      <c r="C37" s="427">
        <v>42738</v>
      </c>
      <c r="D37" s="412" t="s">
        <v>381</v>
      </c>
      <c r="E37" s="412" t="s">
        <v>987</v>
      </c>
      <c r="F37" s="416" t="s">
        <v>988</v>
      </c>
      <c r="G37" s="422" t="s">
        <v>895</v>
      </c>
      <c r="H37" s="416"/>
      <c r="I37" s="423"/>
      <c r="J37" s="423"/>
      <c r="K37" s="424">
        <v>1</v>
      </c>
      <c r="L37" s="430"/>
      <c r="M37" s="416" t="s">
        <v>989</v>
      </c>
    </row>
    <row r="38" spans="1:13" ht="34.5" customHeight="1" x14ac:dyDescent="0.25">
      <c r="A38" s="409">
        <v>33</v>
      </c>
      <c r="B38" s="426" t="s">
        <v>969</v>
      </c>
      <c r="C38" s="427">
        <v>42738</v>
      </c>
      <c r="D38" s="412" t="s">
        <v>382</v>
      </c>
      <c r="E38" s="425" t="s">
        <v>987</v>
      </c>
      <c r="F38" s="416" t="s">
        <v>990</v>
      </c>
      <c r="G38" s="415" t="s">
        <v>895</v>
      </c>
      <c r="H38" s="416"/>
      <c r="I38" s="417"/>
      <c r="J38" s="417"/>
      <c r="K38" s="418">
        <v>1</v>
      </c>
      <c r="L38" s="417"/>
      <c r="M38" s="416" t="s">
        <v>991</v>
      </c>
    </row>
    <row r="39" spans="1:13" ht="41.25" customHeight="1" x14ac:dyDescent="0.25">
      <c r="A39" s="409">
        <v>34</v>
      </c>
      <c r="B39" s="426" t="s">
        <v>969</v>
      </c>
      <c r="C39" s="427">
        <v>42738</v>
      </c>
      <c r="D39" s="412" t="s">
        <v>381</v>
      </c>
      <c r="E39" s="425" t="s">
        <v>908</v>
      </c>
      <c r="F39" s="416" t="s">
        <v>992</v>
      </c>
      <c r="G39" s="415" t="s">
        <v>895</v>
      </c>
      <c r="H39" s="416" t="s">
        <v>993</v>
      </c>
      <c r="I39" s="417" t="s">
        <v>394</v>
      </c>
      <c r="J39" s="417" t="s">
        <v>911</v>
      </c>
      <c r="K39" s="418">
        <v>1</v>
      </c>
      <c r="L39" s="419">
        <v>42736</v>
      </c>
      <c r="M39" s="416" t="s">
        <v>994</v>
      </c>
    </row>
    <row r="40" spans="1:13" ht="34.5" customHeight="1" x14ac:dyDescent="0.25">
      <c r="A40" s="409">
        <v>35</v>
      </c>
      <c r="B40" s="426" t="s">
        <v>969</v>
      </c>
      <c r="C40" s="427">
        <v>42738</v>
      </c>
      <c r="D40" s="412" t="s">
        <v>381</v>
      </c>
      <c r="E40" s="425" t="s">
        <v>908</v>
      </c>
      <c r="F40" s="416" t="s">
        <v>995</v>
      </c>
      <c r="G40" s="415" t="s">
        <v>895</v>
      </c>
      <c r="H40" s="416" t="s">
        <v>996</v>
      </c>
      <c r="I40" s="417" t="s">
        <v>394</v>
      </c>
      <c r="J40" s="417" t="s">
        <v>911</v>
      </c>
      <c r="K40" s="418">
        <v>1</v>
      </c>
      <c r="L40" s="419">
        <v>42736</v>
      </c>
      <c r="M40" s="416" t="s">
        <v>925</v>
      </c>
    </row>
    <row r="41" spans="1:13" ht="34.5" customHeight="1" x14ac:dyDescent="0.25">
      <c r="A41" s="409">
        <v>36</v>
      </c>
      <c r="B41" s="426" t="s">
        <v>969</v>
      </c>
      <c r="C41" s="427">
        <v>42738</v>
      </c>
      <c r="D41" s="412" t="s">
        <v>382</v>
      </c>
      <c r="E41" s="412" t="s">
        <v>908</v>
      </c>
      <c r="F41" s="416" t="s">
        <v>997</v>
      </c>
      <c r="G41" s="422" t="s">
        <v>895</v>
      </c>
      <c r="H41" s="416"/>
      <c r="I41" s="423"/>
      <c r="J41" s="423"/>
      <c r="K41" s="424"/>
      <c r="L41" s="423"/>
      <c r="M41" s="416"/>
    </row>
    <row r="42" spans="1:13" ht="34.5" customHeight="1" x14ac:dyDescent="0.25">
      <c r="A42" s="409">
        <v>37</v>
      </c>
      <c r="B42" s="426" t="s">
        <v>969</v>
      </c>
      <c r="C42" s="427">
        <v>42738</v>
      </c>
      <c r="D42" s="412" t="s">
        <v>380</v>
      </c>
      <c r="E42" s="425" t="s">
        <v>998</v>
      </c>
      <c r="F42" s="416" t="s">
        <v>999</v>
      </c>
      <c r="G42" s="415" t="s">
        <v>895</v>
      </c>
      <c r="H42" s="416" t="s">
        <v>1000</v>
      </c>
      <c r="I42" s="417" t="s">
        <v>394</v>
      </c>
      <c r="J42" s="417" t="s">
        <v>928</v>
      </c>
      <c r="K42" s="418">
        <v>1</v>
      </c>
      <c r="L42" s="431">
        <v>42765</v>
      </c>
      <c r="M42" s="416" t="s">
        <v>1001</v>
      </c>
    </row>
    <row r="43" spans="1:13" ht="34.5" customHeight="1" x14ac:dyDescent="0.25">
      <c r="A43" s="409">
        <v>38</v>
      </c>
      <c r="B43" s="426" t="s">
        <v>1002</v>
      </c>
      <c r="C43" s="427">
        <v>42777</v>
      </c>
      <c r="D43" s="412" t="s">
        <v>379</v>
      </c>
      <c r="E43" s="412" t="s">
        <v>908</v>
      </c>
      <c r="F43" s="416" t="s">
        <v>1003</v>
      </c>
      <c r="G43" s="422" t="s">
        <v>1004</v>
      </c>
      <c r="H43" s="416" t="s">
        <v>1005</v>
      </c>
      <c r="I43" s="423"/>
      <c r="J43" s="423"/>
      <c r="K43" s="424">
        <v>1</v>
      </c>
      <c r="L43" s="423"/>
      <c r="M43" s="416"/>
    </row>
    <row r="44" spans="1:13" ht="38.25" x14ac:dyDescent="0.25">
      <c r="A44" s="409">
        <v>39</v>
      </c>
      <c r="B44" s="426" t="s">
        <v>1002</v>
      </c>
      <c r="C44" s="427">
        <v>42777</v>
      </c>
      <c r="D44" s="412" t="s">
        <v>382</v>
      </c>
      <c r="E44" s="412" t="s">
        <v>908</v>
      </c>
      <c r="F44" s="416" t="s">
        <v>1006</v>
      </c>
      <c r="G44" s="422" t="s">
        <v>1004</v>
      </c>
      <c r="H44" s="416" t="s">
        <v>1007</v>
      </c>
      <c r="I44" s="423" t="s">
        <v>394</v>
      </c>
      <c r="J44" s="423"/>
      <c r="K44" s="424">
        <v>1</v>
      </c>
      <c r="L44" s="423"/>
      <c r="M44" s="416"/>
    </row>
    <row r="45" spans="1:13" ht="34.5" customHeight="1" x14ac:dyDescent="0.25">
      <c r="A45" s="409">
        <v>40</v>
      </c>
      <c r="B45" s="426" t="s">
        <v>1002</v>
      </c>
      <c r="C45" s="427">
        <v>42777</v>
      </c>
      <c r="D45" s="412" t="s">
        <v>381</v>
      </c>
      <c r="E45" s="412" t="s">
        <v>908</v>
      </c>
      <c r="F45" s="416" t="s">
        <v>1008</v>
      </c>
      <c r="G45" s="422" t="s">
        <v>1004</v>
      </c>
      <c r="H45" s="416" t="s">
        <v>1009</v>
      </c>
      <c r="I45" s="423" t="s">
        <v>394</v>
      </c>
      <c r="J45" s="423"/>
      <c r="K45" s="424">
        <v>1</v>
      </c>
      <c r="L45" s="423"/>
      <c r="M45" s="416" t="s">
        <v>1010</v>
      </c>
    </row>
    <row r="46" spans="1:13" ht="34.5" customHeight="1" x14ac:dyDescent="0.25">
      <c r="A46" s="409">
        <v>41</v>
      </c>
      <c r="B46" s="426" t="s">
        <v>1002</v>
      </c>
      <c r="C46" s="427">
        <v>42777</v>
      </c>
      <c r="D46" s="412" t="s">
        <v>380</v>
      </c>
      <c r="E46" s="412" t="s">
        <v>908</v>
      </c>
      <c r="F46" s="416" t="s">
        <v>1011</v>
      </c>
      <c r="G46" s="422" t="s">
        <v>1012</v>
      </c>
      <c r="H46" s="416" t="s">
        <v>1013</v>
      </c>
      <c r="I46" s="423" t="s">
        <v>395</v>
      </c>
      <c r="J46" s="423"/>
      <c r="K46" s="424">
        <v>0</v>
      </c>
      <c r="L46" s="423"/>
      <c r="M46" s="416"/>
    </row>
    <row r="47" spans="1:13" ht="34.5" customHeight="1" x14ac:dyDescent="0.25">
      <c r="A47" s="409">
        <v>42</v>
      </c>
      <c r="B47" s="426" t="s">
        <v>1002</v>
      </c>
      <c r="C47" s="427">
        <v>42777</v>
      </c>
      <c r="D47" s="412" t="s">
        <v>382</v>
      </c>
      <c r="E47" s="412" t="s">
        <v>908</v>
      </c>
      <c r="F47" s="416" t="s">
        <v>1014</v>
      </c>
      <c r="G47" s="422" t="s">
        <v>1012</v>
      </c>
      <c r="H47" s="416" t="s">
        <v>1015</v>
      </c>
      <c r="I47" s="423"/>
      <c r="J47" s="423"/>
      <c r="K47" s="424">
        <v>0</v>
      </c>
      <c r="L47" s="423"/>
      <c r="M47" s="416"/>
    </row>
    <row r="48" spans="1:13" ht="39" customHeight="1" x14ac:dyDescent="0.25">
      <c r="A48" s="409">
        <v>43</v>
      </c>
      <c r="B48" s="426" t="s">
        <v>1002</v>
      </c>
      <c r="C48" s="427">
        <v>42781</v>
      </c>
      <c r="D48" s="412" t="s">
        <v>381</v>
      </c>
      <c r="E48" s="412" t="s">
        <v>987</v>
      </c>
      <c r="F48" s="416" t="s">
        <v>1016</v>
      </c>
      <c r="G48" s="422" t="s">
        <v>1012</v>
      </c>
      <c r="H48" s="416" t="s">
        <v>1017</v>
      </c>
      <c r="I48" s="423"/>
      <c r="J48" s="423"/>
      <c r="K48" s="424">
        <v>1</v>
      </c>
      <c r="L48" s="423"/>
      <c r="M48" s="416" t="s">
        <v>1018</v>
      </c>
    </row>
    <row r="49" spans="1:13" ht="41.1" customHeight="1" x14ac:dyDescent="0.25">
      <c r="A49" s="409">
        <v>44</v>
      </c>
      <c r="B49" s="426" t="s">
        <v>1002</v>
      </c>
      <c r="C49" s="427">
        <v>42781</v>
      </c>
      <c r="D49" s="412" t="s">
        <v>382</v>
      </c>
      <c r="E49" s="412" t="s">
        <v>987</v>
      </c>
      <c r="F49" s="416" t="s">
        <v>1019</v>
      </c>
      <c r="G49" s="422" t="s">
        <v>1020</v>
      </c>
      <c r="H49" s="416"/>
      <c r="I49" s="423"/>
      <c r="J49" s="423"/>
      <c r="K49" s="424">
        <v>1</v>
      </c>
      <c r="L49" s="423"/>
      <c r="M49" s="416" t="s">
        <v>1021</v>
      </c>
    </row>
    <row r="50" spans="1:13" ht="34.5" customHeight="1" x14ac:dyDescent="0.25">
      <c r="A50" s="409">
        <v>45</v>
      </c>
      <c r="B50" s="426" t="s">
        <v>1002</v>
      </c>
      <c r="C50" s="427">
        <v>42781</v>
      </c>
      <c r="D50" s="412" t="s">
        <v>381</v>
      </c>
      <c r="E50" s="412" t="s">
        <v>908</v>
      </c>
      <c r="F50" s="416" t="s">
        <v>1022</v>
      </c>
      <c r="G50" s="422" t="s">
        <v>1012</v>
      </c>
      <c r="H50" s="416" t="s">
        <v>1023</v>
      </c>
      <c r="I50" s="423"/>
      <c r="J50" s="423"/>
      <c r="K50" s="424">
        <v>1</v>
      </c>
      <c r="L50" s="423"/>
      <c r="M50" s="416" t="s">
        <v>1024</v>
      </c>
    </row>
    <row r="51" spans="1:13" ht="34.5" customHeight="1" x14ac:dyDescent="0.25">
      <c r="A51" s="409">
        <v>46</v>
      </c>
      <c r="B51" s="426" t="s">
        <v>1002</v>
      </c>
      <c r="C51" s="427">
        <v>42781</v>
      </c>
      <c r="D51" s="412" t="s">
        <v>382</v>
      </c>
      <c r="E51" s="412" t="s">
        <v>908</v>
      </c>
      <c r="F51" s="416" t="s">
        <v>1025</v>
      </c>
      <c r="G51" s="422" t="s">
        <v>1026</v>
      </c>
      <c r="H51" s="416" t="s">
        <v>1027</v>
      </c>
      <c r="I51" s="423" t="s">
        <v>394</v>
      </c>
      <c r="J51" s="423"/>
      <c r="K51" s="424">
        <v>1</v>
      </c>
      <c r="L51" s="423"/>
      <c r="M51" s="416" t="s">
        <v>1028</v>
      </c>
    </row>
    <row r="52" spans="1:13" ht="34.5" customHeight="1" x14ac:dyDescent="0.25">
      <c r="A52" s="409">
        <v>47</v>
      </c>
      <c r="B52" s="426" t="s">
        <v>1002</v>
      </c>
      <c r="C52" s="427">
        <v>42781</v>
      </c>
      <c r="D52" s="412" t="s">
        <v>381</v>
      </c>
      <c r="E52" s="412" t="s">
        <v>908</v>
      </c>
      <c r="F52" s="416" t="s">
        <v>1029</v>
      </c>
      <c r="G52" s="422" t="s">
        <v>1030</v>
      </c>
      <c r="H52" s="416"/>
      <c r="I52" s="423"/>
      <c r="J52" s="423"/>
      <c r="K52" s="424">
        <v>1</v>
      </c>
      <c r="L52" s="423"/>
      <c r="M52" s="416" t="s">
        <v>1031</v>
      </c>
    </row>
    <row r="53" spans="1:13" ht="34.5" customHeight="1" x14ac:dyDescent="0.25">
      <c r="A53" s="409">
        <v>48</v>
      </c>
      <c r="B53" s="426" t="s">
        <v>1002</v>
      </c>
      <c r="C53" s="427">
        <v>42781</v>
      </c>
      <c r="D53" s="412" t="s">
        <v>382</v>
      </c>
      <c r="E53" s="412" t="s">
        <v>908</v>
      </c>
      <c r="F53" s="416" t="s">
        <v>1032</v>
      </c>
      <c r="G53" s="422" t="s">
        <v>1033</v>
      </c>
      <c r="H53" s="416"/>
      <c r="I53" s="423"/>
      <c r="J53" s="423"/>
      <c r="K53" s="424">
        <v>0</v>
      </c>
      <c r="L53" s="423"/>
      <c r="M53" s="416"/>
    </row>
    <row r="54" spans="1:13" ht="34.5" customHeight="1" x14ac:dyDescent="0.25">
      <c r="A54" s="409">
        <v>49</v>
      </c>
      <c r="B54" s="426" t="s">
        <v>1002</v>
      </c>
      <c r="C54" s="427">
        <v>42781</v>
      </c>
      <c r="D54" s="412" t="s">
        <v>382</v>
      </c>
      <c r="E54" s="412" t="s">
        <v>908</v>
      </c>
      <c r="F54" s="416" t="s">
        <v>1034</v>
      </c>
      <c r="G54" s="422" t="s">
        <v>1035</v>
      </c>
      <c r="H54" s="416"/>
      <c r="I54" s="423"/>
      <c r="J54" s="423"/>
      <c r="K54" s="424" t="s">
        <v>1036</v>
      </c>
      <c r="L54" s="423"/>
      <c r="M54" s="416" t="s">
        <v>1037</v>
      </c>
    </row>
    <row r="55" spans="1:13" ht="34.5" customHeight="1" x14ac:dyDescent="0.25">
      <c r="A55" s="409">
        <v>50</v>
      </c>
      <c r="B55" s="426" t="s">
        <v>1002</v>
      </c>
      <c r="C55" s="427">
        <v>42781</v>
      </c>
      <c r="D55" s="412" t="s">
        <v>382</v>
      </c>
      <c r="E55" s="412" t="s">
        <v>908</v>
      </c>
      <c r="F55" s="416" t="s">
        <v>1038</v>
      </c>
      <c r="G55" s="422" t="s">
        <v>1035</v>
      </c>
      <c r="H55" s="416" t="s">
        <v>1039</v>
      </c>
      <c r="I55" s="423"/>
      <c r="J55" s="423"/>
      <c r="K55" s="424">
        <v>1</v>
      </c>
      <c r="L55" s="423"/>
      <c r="M55" s="416" t="s">
        <v>1040</v>
      </c>
    </row>
    <row r="56" spans="1:13" ht="34.5" customHeight="1" x14ac:dyDescent="0.25">
      <c r="A56" s="409">
        <v>51</v>
      </c>
      <c r="B56" s="426" t="s">
        <v>1002</v>
      </c>
      <c r="C56" s="427">
        <v>42781</v>
      </c>
      <c r="D56" s="412" t="s">
        <v>379</v>
      </c>
      <c r="E56" s="412" t="s">
        <v>908</v>
      </c>
      <c r="F56" s="425" t="s">
        <v>1041</v>
      </c>
      <c r="G56" s="422" t="s">
        <v>1012</v>
      </c>
      <c r="H56" s="416"/>
      <c r="I56" s="423"/>
      <c r="J56" s="423"/>
      <c r="K56" s="424">
        <v>1</v>
      </c>
      <c r="L56" s="423"/>
      <c r="M56" s="416" t="s">
        <v>1042</v>
      </c>
    </row>
    <row r="57" spans="1:13" ht="34.5" customHeight="1" x14ac:dyDescent="0.25">
      <c r="A57" s="409">
        <v>52</v>
      </c>
      <c r="B57" s="426" t="s">
        <v>1002</v>
      </c>
      <c r="C57" s="427">
        <v>42781</v>
      </c>
      <c r="D57" s="412" t="s">
        <v>379</v>
      </c>
      <c r="E57" s="409" t="s">
        <v>908</v>
      </c>
      <c r="F57" s="416" t="s">
        <v>1043</v>
      </c>
      <c r="G57" s="428" t="s">
        <v>1012</v>
      </c>
      <c r="H57" s="432"/>
      <c r="I57" s="423"/>
      <c r="J57" s="423"/>
      <c r="K57" s="424">
        <v>1</v>
      </c>
      <c r="L57" s="423"/>
      <c r="M57" s="432" t="s">
        <v>1044</v>
      </c>
    </row>
    <row r="58" spans="1:13" ht="34.5" customHeight="1" x14ac:dyDescent="0.25">
      <c r="A58" s="409">
        <v>53</v>
      </c>
      <c r="B58" s="426" t="s">
        <v>1002</v>
      </c>
      <c r="C58" s="427">
        <v>42781</v>
      </c>
      <c r="D58" s="412" t="s">
        <v>380</v>
      </c>
      <c r="E58" s="423" t="s">
        <v>908</v>
      </c>
      <c r="F58" s="416" t="s">
        <v>1045</v>
      </c>
      <c r="G58" s="422" t="s">
        <v>1046</v>
      </c>
      <c r="H58" s="432"/>
      <c r="I58" s="423"/>
      <c r="J58" s="423"/>
      <c r="K58" s="424">
        <v>1</v>
      </c>
      <c r="L58" s="423"/>
      <c r="M58" s="433" t="s">
        <v>1047</v>
      </c>
    </row>
    <row r="59" spans="1:13" ht="34.5" customHeight="1" x14ac:dyDescent="0.25">
      <c r="A59" s="409">
        <v>54</v>
      </c>
      <c r="B59" s="426" t="s">
        <v>1048</v>
      </c>
      <c r="C59" s="434">
        <v>42861</v>
      </c>
      <c r="D59" s="412" t="s">
        <v>382</v>
      </c>
      <c r="E59" s="423" t="s">
        <v>1049</v>
      </c>
      <c r="F59" s="416" t="s">
        <v>1050</v>
      </c>
      <c r="G59" s="422" t="s">
        <v>1035</v>
      </c>
      <c r="H59" s="432"/>
      <c r="I59" s="423"/>
      <c r="J59" s="423"/>
      <c r="K59" s="424">
        <v>1</v>
      </c>
      <c r="L59" s="423"/>
      <c r="M59" s="432" t="s">
        <v>1051</v>
      </c>
    </row>
    <row r="60" spans="1:13" ht="34.5" customHeight="1" x14ac:dyDescent="0.25">
      <c r="A60" s="409">
        <v>55</v>
      </c>
      <c r="B60" s="426" t="s">
        <v>1048</v>
      </c>
      <c r="C60" s="434">
        <v>42861</v>
      </c>
      <c r="D60" s="412" t="s">
        <v>382</v>
      </c>
      <c r="E60" s="423" t="s">
        <v>987</v>
      </c>
      <c r="F60" s="416" t="s">
        <v>1052</v>
      </c>
      <c r="G60" s="422" t="s">
        <v>1012</v>
      </c>
      <c r="H60" s="435" t="s">
        <v>1053</v>
      </c>
      <c r="I60" s="423" t="s">
        <v>394</v>
      </c>
      <c r="J60" s="423" t="s">
        <v>1054</v>
      </c>
      <c r="K60" s="424">
        <v>1</v>
      </c>
      <c r="L60" s="430">
        <v>42871</v>
      </c>
      <c r="M60" s="433"/>
    </row>
    <row r="61" spans="1:13" ht="34.5" customHeight="1" x14ac:dyDescent="0.25">
      <c r="A61" s="409">
        <v>56</v>
      </c>
      <c r="B61" s="426" t="s">
        <v>1048</v>
      </c>
      <c r="C61" s="434">
        <v>42861</v>
      </c>
      <c r="D61" s="412" t="s">
        <v>382</v>
      </c>
      <c r="E61" s="423" t="s">
        <v>1055</v>
      </c>
      <c r="F61" s="416" t="s">
        <v>1056</v>
      </c>
      <c r="G61" s="422" t="s">
        <v>1035</v>
      </c>
      <c r="H61" s="432"/>
      <c r="I61" s="423" t="s">
        <v>395</v>
      </c>
      <c r="J61" s="428" t="s">
        <v>1057</v>
      </c>
      <c r="K61" s="424">
        <v>0</v>
      </c>
      <c r="L61" s="423"/>
      <c r="M61" s="433"/>
    </row>
    <row r="62" spans="1:13" ht="34.5" customHeight="1" x14ac:dyDescent="0.25">
      <c r="A62" s="409">
        <v>57</v>
      </c>
      <c r="B62" s="426" t="s">
        <v>1048</v>
      </c>
      <c r="C62" s="434">
        <v>42861</v>
      </c>
      <c r="D62" s="412" t="s">
        <v>381</v>
      </c>
      <c r="E62" s="423" t="s">
        <v>987</v>
      </c>
      <c r="F62" s="416" t="s">
        <v>1058</v>
      </c>
      <c r="G62" s="422" t="s">
        <v>1030</v>
      </c>
      <c r="H62" s="432" t="s">
        <v>1059</v>
      </c>
      <c r="I62" s="423" t="s">
        <v>394</v>
      </c>
      <c r="J62" s="423" t="s">
        <v>911</v>
      </c>
      <c r="K62" s="424">
        <v>1</v>
      </c>
      <c r="L62" s="430">
        <v>42885</v>
      </c>
      <c r="M62" s="432" t="s">
        <v>1060</v>
      </c>
    </row>
    <row r="63" spans="1:13" ht="34.5" customHeight="1" x14ac:dyDescent="0.25">
      <c r="A63" s="409">
        <v>58</v>
      </c>
      <c r="B63" s="426" t="s">
        <v>1048</v>
      </c>
      <c r="C63" s="434">
        <v>42863</v>
      </c>
      <c r="D63" s="412" t="s">
        <v>380</v>
      </c>
      <c r="E63" s="423" t="s">
        <v>1061</v>
      </c>
      <c r="F63" s="416" t="s">
        <v>1062</v>
      </c>
      <c r="G63" s="422" t="s">
        <v>1030</v>
      </c>
      <c r="H63" s="416" t="s">
        <v>1063</v>
      </c>
      <c r="I63" s="423" t="s">
        <v>394</v>
      </c>
      <c r="J63" s="423" t="s">
        <v>1054</v>
      </c>
      <c r="K63" s="424">
        <v>0</v>
      </c>
      <c r="L63" s="423"/>
      <c r="M63" s="433"/>
    </row>
    <row r="64" spans="1:13" ht="34.5" customHeight="1" x14ac:dyDescent="0.25">
      <c r="A64" s="409">
        <v>59</v>
      </c>
      <c r="B64" s="426" t="s">
        <v>1048</v>
      </c>
      <c r="C64" s="434">
        <v>42863</v>
      </c>
      <c r="D64" s="412" t="s">
        <v>380</v>
      </c>
      <c r="E64" s="423" t="s">
        <v>1061</v>
      </c>
      <c r="F64" s="416" t="s">
        <v>1064</v>
      </c>
      <c r="G64" s="422" t="s">
        <v>1065</v>
      </c>
      <c r="H64" s="432" t="s">
        <v>1066</v>
      </c>
      <c r="I64" s="423"/>
      <c r="J64" s="423"/>
      <c r="K64" s="424">
        <v>1</v>
      </c>
      <c r="L64" s="430">
        <v>42872</v>
      </c>
      <c r="M64" s="432" t="s">
        <v>1067</v>
      </c>
    </row>
    <row r="65" spans="1:13" ht="34.5" customHeight="1" x14ac:dyDescent="0.25">
      <c r="A65" s="409">
        <v>60</v>
      </c>
      <c r="B65" s="426" t="s">
        <v>899</v>
      </c>
      <c r="C65" s="434">
        <v>42894</v>
      </c>
      <c r="D65" s="412" t="s">
        <v>380</v>
      </c>
      <c r="E65" s="423" t="s">
        <v>1068</v>
      </c>
      <c r="F65" s="416" t="s">
        <v>1069</v>
      </c>
      <c r="G65" s="428" t="s">
        <v>1070</v>
      </c>
      <c r="H65" s="432" t="s">
        <v>1071</v>
      </c>
      <c r="I65" s="423" t="s">
        <v>395</v>
      </c>
      <c r="J65" s="428" t="s">
        <v>1072</v>
      </c>
      <c r="K65" s="423"/>
      <c r="L65" s="423"/>
      <c r="M65" s="433"/>
    </row>
    <row r="66" spans="1:13" ht="34.5" customHeight="1" x14ac:dyDescent="0.25">
      <c r="A66" s="409">
        <v>61</v>
      </c>
      <c r="B66" s="426" t="s">
        <v>899</v>
      </c>
      <c r="C66" s="434">
        <v>42894</v>
      </c>
      <c r="D66" s="412" t="s">
        <v>380</v>
      </c>
      <c r="E66" s="423" t="s">
        <v>1073</v>
      </c>
      <c r="F66" s="416" t="s">
        <v>1074</v>
      </c>
      <c r="G66" s="428" t="s">
        <v>1035</v>
      </c>
      <c r="H66" s="432" t="s">
        <v>1075</v>
      </c>
      <c r="I66" s="423" t="s">
        <v>395</v>
      </c>
      <c r="J66" s="428" t="s">
        <v>1076</v>
      </c>
      <c r="K66" s="424">
        <v>1</v>
      </c>
      <c r="L66" s="423"/>
      <c r="M66" s="433" t="s">
        <v>1077</v>
      </c>
    </row>
    <row r="67" spans="1:13" ht="34.5" customHeight="1" x14ac:dyDescent="0.25">
      <c r="A67" s="409">
        <v>62</v>
      </c>
      <c r="B67" s="426" t="s">
        <v>1002</v>
      </c>
      <c r="C67" s="434">
        <v>42984</v>
      </c>
      <c r="D67" s="412" t="s">
        <v>382</v>
      </c>
      <c r="E67" s="423" t="s">
        <v>1078</v>
      </c>
      <c r="F67" s="416" t="s">
        <v>1079</v>
      </c>
      <c r="G67" s="428" t="s">
        <v>1035</v>
      </c>
      <c r="H67" s="429" t="s">
        <v>1080</v>
      </c>
      <c r="I67" s="423" t="s">
        <v>394</v>
      </c>
      <c r="J67" s="423" t="s">
        <v>1065</v>
      </c>
      <c r="K67" s="423">
        <v>100</v>
      </c>
      <c r="L67" s="430">
        <v>43005</v>
      </c>
      <c r="M67" s="433" t="s">
        <v>1081</v>
      </c>
    </row>
    <row r="68" spans="1:13" ht="34.5" customHeight="1" x14ac:dyDescent="0.25">
      <c r="A68" s="409">
        <v>63</v>
      </c>
      <c r="B68" s="426" t="s">
        <v>1002</v>
      </c>
      <c r="C68" s="434">
        <v>42984</v>
      </c>
      <c r="D68" s="412" t="s">
        <v>382</v>
      </c>
      <c r="E68" s="423" t="s">
        <v>930</v>
      </c>
      <c r="F68" s="416" t="s">
        <v>1082</v>
      </c>
      <c r="G68" s="428" t="s">
        <v>1035</v>
      </c>
      <c r="H68" s="432"/>
      <c r="I68" s="423"/>
      <c r="J68" s="423"/>
      <c r="K68" s="423"/>
      <c r="L68" s="423"/>
      <c r="M68" s="433"/>
    </row>
    <row r="69" spans="1:13" ht="34.5" customHeight="1" x14ac:dyDescent="0.25">
      <c r="A69" s="409">
        <v>64</v>
      </c>
      <c r="B69" s="426" t="s">
        <v>1002</v>
      </c>
      <c r="C69" s="434">
        <v>42984</v>
      </c>
      <c r="D69" s="412" t="s">
        <v>380</v>
      </c>
      <c r="E69" s="423" t="s">
        <v>930</v>
      </c>
      <c r="F69" s="416" t="s">
        <v>1083</v>
      </c>
      <c r="G69" s="428" t="s">
        <v>1035</v>
      </c>
      <c r="H69" s="432" t="s">
        <v>1084</v>
      </c>
      <c r="I69" s="423" t="s">
        <v>395</v>
      </c>
      <c r="J69" s="428" t="s">
        <v>1085</v>
      </c>
      <c r="K69" s="424">
        <v>0.1</v>
      </c>
      <c r="L69" s="423"/>
      <c r="M69" s="433" t="s">
        <v>1086</v>
      </c>
    </row>
    <row r="70" spans="1:13" ht="34.5" customHeight="1" x14ac:dyDescent="0.25">
      <c r="A70" s="409">
        <v>65</v>
      </c>
      <c r="B70" s="426" t="s">
        <v>1002</v>
      </c>
      <c r="C70" s="434">
        <v>42984</v>
      </c>
      <c r="D70" s="412" t="s">
        <v>380</v>
      </c>
      <c r="E70" s="423" t="s">
        <v>1087</v>
      </c>
      <c r="F70" s="416" t="s">
        <v>1088</v>
      </c>
      <c r="G70" s="428" t="s">
        <v>1065</v>
      </c>
      <c r="H70" s="432" t="s">
        <v>1089</v>
      </c>
      <c r="I70" s="423" t="s">
        <v>395</v>
      </c>
      <c r="J70" s="423" t="s">
        <v>1065</v>
      </c>
      <c r="K70" s="256">
        <v>1</v>
      </c>
      <c r="L70" s="430">
        <v>43005</v>
      </c>
      <c r="M70" s="433" t="s">
        <v>1090</v>
      </c>
    </row>
    <row r="71" spans="1:13" ht="34.5" customHeight="1" x14ac:dyDescent="0.25">
      <c r="A71" s="409">
        <v>66</v>
      </c>
      <c r="B71" s="426" t="s">
        <v>1002</v>
      </c>
      <c r="C71" s="434">
        <v>42984</v>
      </c>
      <c r="D71" s="412" t="s">
        <v>382</v>
      </c>
      <c r="E71" s="423" t="s">
        <v>1073</v>
      </c>
      <c r="F71" s="416" t="s">
        <v>1091</v>
      </c>
      <c r="G71" s="428" t="s">
        <v>1065</v>
      </c>
      <c r="H71" s="416" t="s">
        <v>1092</v>
      </c>
      <c r="I71" s="423" t="s">
        <v>394</v>
      </c>
      <c r="J71" s="423" t="s">
        <v>1093</v>
      </c>
      <c r="K71" s="423">
        <v>100</v>
      </c>
      <c r="L71" s="423" t="s">
        <v>1094</v>
      </c>
      <c r="M71" s="433" t="s">
        <v>1095</v>
      </c>
    </row>
    <row r="72" spans="1:13" ht="55.5" customHeight="1" x14ac:dyDescent="0.25">
      <c r="A72" s="409">
        <v>67</v>
      </c>
      <c r="B72" s="426" t="s">
        <v>1002</v>
      </c>
      <c r="C72" s="434">
        <v>42985</v>
      </c>
      <c r="D72" s="412" t="s">
        <v>381</v>
      </c>
      <c r="E72" s="423" t="s">
        <v>1049</v>
      </c>
      <c r="F72" s="416" t="s">
        <v>1096</v>
      </c>
      <c r="G72" s="428" t="s">
        <v>1035</v>
      </c>
      <c r="H72" s="436" t="s">
        <v>1097</v>
      </c>
      <c r="I72" s="423" t="s">
        <v>394</v>
      </c>
      <c r="J72" s="423" t="s">
        <v>1093</v>
      </c>
      <c r="K72" s="423">
        <v>100</v>
      </c>
      <c r="L72" s="423" t="s">
        <v>1094</v>
      </c>
      <c r="M72" s="432" t="s">
        <v>1098</v>
      </c>
    </row>
    <row r="73" spans="1:13" ht="34.5" customHeight="1" x14ac:dyDescent="0.25">
      <c r="A73" s="409">
        <v>68</v>
      </c>
      <c r="B73" s="426" t="s">
        <v>1002</v>
      </c>
      <c r="C73" s="434">
        <v>42985</v>
      </c>
      <c r="D73" s="412" t="s">
        <v>382</v>
      </c>
      <c r="E73" s="423" t="s">
        <v>1049</v>
      </c>
      <c r="F73" s="416" t="s">
        <v>1099</v>
      </c>
      <c r="G73" s="428" t="s">
        <v>1065</v>
      </c>
      <c r="H73" s="432" t="s">
        <v>1100</v>
      </c>
      <c r="I73" s="423" t="s">
        <v>395</v>
      </c>
      <c r="J73" s="423" t="s">
        <v>1101</v>
      </c>
      <c r="K73" s="423">
        <v>50</v>
      </c>
      <c r="L73" s="423" t="s">
        <v>1102</v>
      </c>
      <c r="M73" s="433" t="s">
        <v>1103</v>
      </c>
    </row>
    <row r="74" spans="1:13" ht="34.5" customHeight="1" x14ac:dyDescent="0.25">
      <c r="A74" s="409">
        <v>69</v>
      </c>
      <c r="B74" s="426" t="s">
        <v>1002</v>
      </c>
      <c r="C74" s="434">
        <v>42985</v>
      </c>
      <c r="D74" s="412" t="s">
        <v>381</v>
      </c>
      <c r="E74" s="423" t="s">
        <v>1054</v>
      </c>
      <c r="F74" s="416" t="s">
        <v>1104</v>
      </c>
      <c r="G74" s="428" t="s">
        <v>1035</v>
      </c>
      <c r="H74" s="435" t="s">
        <v>1105</v>
      </c>
      <c r="I74" s="423" t="s">
        <v>395</v>
      </c>
      <c r="J74" s="423" t="s">
        <v>1106</v>
      </c>
      <c r="K74" s="423">
        <v>50</v>
      </c>
      <c r="L74" s="423" t="s">
        <v>1102</v>
      </c>
      <c r="M74" s="433" t="s">
        <v>1107</v>
      </c>
    </row>
    <row r="75" spans="1:13" ht="44.25" customHeight="1" x14ac:dyDescent="0.25">
      <c r="A75" s="409">
        <v>70</v>
      </c>
      <c r="B75" s="426" t="s">
        <v>1002</v>
      </c>
      <c r="C75" s="434">
        <v>42985</v>
      </c>
      <c r="D75" s="412" t="s">
        <v>381</v>
      </c>
      <c r="E75" s="423" t="s">
        <v>1054</v>
      </c>
      <c r="F75" s="416" t="s">
        <v>1108</v>
      </c>
      <c r="G75" s="428" t="s">
        <v>1035</v>
      </c>
      <c r="H75" s="432" t="s">
        <v>1109</v>
      </c>
      <c r="I75" s="423" t="s">
        <v>394</v>
      </c>
      <c r="J75" s="423" t="s">
        <v>1093</v>
      </c>
      <c r="K75" s="423">
        <v>100</v>
      </c>
      <c r="L75" s="423" t="s">
        <v>1094</v>
      </c>
      <c r="M75" s="432" t="s">
        <v>1098</v>
      </c>
    </row>
    <row r="76" spans="1:13" ht="34.5" customHeight="1" x14ac:dyDescent="0.25">
      <c r="A76" s="409">
        <v>71</v>
      </c>
      <c r="B76" s="426" t="s">
        <v>1002</v>
      </c>
      <c r="C76" s="434">
        <v>42986</v>
      </c>
      <c r="D76" s="412" t="s">
        <v>382</v>
      </c>
      <c r="E76" s="423" t="s">
        <v>1049</v>
      </c>
      <c r="F76" s="416" t="s">
        <v>1110</v>
      </c>
      <c r="G76" s="428" t="s">
        <v>1035</v>
      </c>
      <c r="H76" s="432" t="s">
        <v>1109</v>
      </c>
      <c r="I76" s="423" t="s">
        <v>395</v>
      </c>
      <c r="J76" s="423" t="s">
        <v>1093</v>
      </c>
      <c r="K76" s="423">
        <v>100</v>
      </c>
      <c r="L76" s="423" t="s">
        <v>1094</v>
      </c>
      <c r="M76" s="433"/>
    </row>
    <row r="77" spans="1:13" ht="34.5" customHeight="1" x14ac:dyDescent="0.25">
      <c r="A77" s="409">
        <v>72</v>
      </c>
      <c r="B77" s="437" t="s">
        <v>1002</v>
      </c>
      <c r="C77" s="434">
        <v>42986</v>
      </c>
      <c r="D77" s="412" t="s">
        <v>380</v>
      </c>
      <c r="E77" s="423" t="s">
        <v>908</v>
      </c>
      <c r="F77" s="416" t="s">
        <v>1111</v>
      </c>
      <c r="G77" s="428" t="s">
        <v>1065</v>
      </c>
      <c r="H77" s="432" t="s">
        <v>1112</v>
      </c>
      <c r="I77" s="423" t="s">
        <v>395</v>
      </c>
      <c r="J77" s="423" t="s">
        <v>1093</v>
      </c>
      <c r="K77" s="423">
        <v>100</v>
      </c>
      <c r="L77" s="430">
        <v>43005</v>
      </c>
      <c r="M77" s="433" t="s">
        <v>1090</v>
      </c>
    </row>
    <row r="78" spans="1:13" ht="42" customHeight="1" x14ac:dyDescent="0.25">
      <c r="A78" s="409">
        <v>73</v>
      </c>
      <c r="B78" s="426" t="s">
        <v>1002</v>
      </c>
      <c r="C78" s="434">
        <v>42986</v>
      </c>
      <c r="D78" s="412" t="s">
        <v>382</v>
      </c>
      <c r="E78" s="423" t="s">
        <v>1049</v>
      </c>
      <c r="F78" s="416" t="s">
        <v>1113</v>
      </c>
      <c r="G78" s="428" t="s">
        <v>1065</v>
      </c>
      <c r="H78" s="432" t="s">
        <v>1114</v>
      </c>
      <c r="I78" s="423" t="s">
        <v>395</v>
      </c>
      <c r="J78" s="423" t="s">
        <v>1065</v>
      </c>
      <c r="K78" s="424">
        <v>1</v>
      </c>
      <c r="L78" s="430">
        <v>43005</v>
      </c>
      <c r="M78" s="438"/>
    </row>
    <row r="79" spans="1:13" ht="34.5" customHeight="1" x14ac:dyDescent="0.25">
      <c r="A79" s="409">
        <v>74</v>
      </c>
      <c r="B79" s="426" t="s">
        <v>1002</v>
      </c>
      <c r="C79" s="434">
        <v>42986</v>
      </c>
      <c r="D79" s="412" t="s">
        <v>380</v>
      </c>
      <c r="E79" s="423" t="s">
        <v>908</v>
      </c>
      <c r="F79" s="416" t="s">
        <v>1115</v>
      </c>
      <c r="G79" s="428" t="s">
        <v>1035</v>
      </c>
      <c r="H79" s="435" t="s">
        <v>1105</v>
      </c>
      <c r="I79" s="423" t="s">
        <v>395</v>
      </c>
      <c r="J79" s="423" t="s">
        <v>1106</v>
      </c>
      <c r="K79" s="423">
        <v>50</v>
      </c>
      <c r="L79" s="423" t="s">
        <v>1102</v>
      </c>
      <c r="M79" s="433" t="s">
        <v>1107</v>
      </c>
    </row>
    <row r="80" spans="1:13" ht="34.5" customHeight="1" x14ac:dyDescent="0.25">
      <c r="A80" s="409">
        <v>75</v>
      </c>
      <c r="B80" s="426" t="s">
        <v>1002</v>
      </c>
      <c r="C80" s="434">
        <v>42986</v>
      </c>
      <c r="D80" s="412" t="s">
        <v>380</v>
      </c>
      <c r="E80" s="423" t="s">
        <v>908</v>
      </c>
      <c r="F80" s="416" t="s">
        <v>1116</v>
      </c>
      <c r="G80" s="428" t="s">
        <v>1065</v>
      </c>
      <c r="H80" s="428" t="s">
        <v>1117</v>
      </c>
      <c r="I80" s="423" t="s">
        <v>395</v>
      </c>
      <c r="J80" s="423" t="s">
        <v>1118</v>
      </c>
      <c r="K80" s="256">
        <v>1</v>
      </c>
      <c r="L80" s="430">
        <v>43005</v>
      </c>
      <c r="M80" s="433" t="s">
        <v>1090</v>
      </c>
    </row>
    <row r="81" spans="1:13" ht="50.25" customHeight="1" x14ac:dyDescent="0.25">
      <c r="A81" s="409">
        <v>76</v>
      </c>
      <c r="B81" s="426" t="s">
        <v>1002</v>
      </c>
      <c r="C81" s="434">
        <v>42986</v>
      </c>
      <c r="D81" s="412" t="s">
        <v>381</v>
      </c>
      <c r="E81" s="423" t="s">
        <v>1049</v>
      </c>
      <c r="F81" s="416" t="s">
        <v>1119</v>
      </c>
      <c r="G81" s="428" t="s">
        <v>1035</v>
      </c>
      <c r="H81" s="432" t="s">
        <v>1109</v>
      </c>
      <c r="I81" s="423" t="s">
        <v>394</v>
      </c>
      <c r="J81" s="423" t="s">
        <v>1093</v>
      </c>
      <c r="K81" s="423">
        <v>100</v>
      </c>
      <c r="L81" s="423" t="s">
        <v>1094</v>
      </c>
      <c r="M81" s="429" t="s">
        <v>1098</v>
      </c>
    </row>
    <row r="82" spans="1:13" ht="34.5" customHeight="1" x14ac:dyDescent="0.25">
      <c r="A82" s="409">
        <v>77</v>
      </c>
      <c r="B82" s="426" t="s">
        <v>1002</v>
      </c>
      <c r="C82" s="434">
        <v>42986</v>
      </c>
      <c r="D82" s="412" t="s">
        <v>382</v>
      </c>
      <c r="E82" s="423" t="s">
        <v>1087</v>
      </c>
      <c r="F82" s="416" t="s">
        <v>1120</v>
      </c>
      <c r="G82" s="428" t="s">
        <v>1035</v>
      </c>
      <c r="H82" s="432" t="s">
        <v>1121</v>
      </c>
      <c r="I82" s="423" t="s">
        <v>394</v>
      </c>
      <c r="J82" s="423" t="s">
        <v>1122</v>
      </c>
      <c r="K82" s="423">
        <v>0</v>
      </c>
      <c r="L82" s="430">
        <v>43042</v>
      </c>
      <c r="M82" s="433"/>
    </row>
    <row r="83" spans="1:13" ht="34.5" customHeight="1" x14ac:dyDescent="0.25">
      <c r="A83" s="409">
        <v>78</v>
      </c>
      <c r="B83" s="426" t="s">
        <v>1002</v>
      </c>
      <c r="C83" s="434">
        <v>42986</v>
      </c>
      <c r="D83" s="412" t="s">
        <v>381</v>
      </c>
      <c r="E83" s="423" t="s">
        <v>1055</v>
      </c>
      <c r="F83" s="416" t="s">
        <v>1123</v>
      </c>
      <c r="G83" s="428"/>
      <c r="H83" s="432"/>
      <c r="I83" s="423"/>
      <c r="J83" s="423"/>
      <c r="K83" s="423"/>
      <c r="L83" s="423"/>
      <c r="M83" s="433"/>
    </row>
    <row r="84" spans="1:13" ht="52.5" customHeight="1" x14ac:dyDescent="0.25">
      <c r="A84" s="409">
        <v>79</v>
      </c>
      <c r="B84" s="426" t="s">
        <v>1002</v>
      </c>
      <c r="C84" s="434">
        <v>42986</v>
      </c>
      <c r="D84" s="412" t="s">
        <v>381</v>
      </c>
      <c r="E84" s="423" t="s">
        <v>908</v>
      </c>
      <c r="F84" s="416" t="s">
        <v>1124</v>
      </c>
      <c r="G84" s="428" t="s">
        <v>1035</v>
      </c>
      <c r="H84" s="432" t="s">
        <v>1125</v>
      </c>
      <c r="I84" s="423" t="s">
        <v>395</v>
      </c>
      <c r="J84" s="423" t="s">
        <v>1093</v>
      </c>
      <c r="K84" s="423">
        <v>50</v>
      </c>
      <c r="L84" s="423" t="s">
        <v>1094</v>
      </c>
      <c r="M84" s="432" t="s">
        <v>1126</v>
      </c>
    </row>
    <row r="85" spans="1:13" ht="52.5" customHeight="1" x14ac:dyDescent="0.25">
      <c r="A85" s="409">
        <v>80</v>
      </c>
      <c r="B85" s="426" t="s">
        <v>1002</v>
      </c>
      <c r="C85" s="434">
        <v>42987</v>
      </c>
      <c r="D85" s="412" t="s">
        <v>381</v>
      </c>
      <c r="E85" s="423" t="s">
        <v>1055</v>
      </c>
      <c r="F85" s="416" t="s">
        <v>1127</v>
      </c>
      <c r="G85" s="428" t="s">
        <v>1035</v>
      </c>
      <c r="H85" s="432" t="s">
        <v>1128</v>
      </c>
      <c r="I85" s="428" t="s">
        <v>1129</v>
      </c>
      <c r="J85" s="428" t="s">
        <v>1130</v>
      </c>
      <c r="K85" s="428" t="s">
        <v>1131</v>
      </c>
      <c r="L85" s="423" t="s">
        <v>1102</v>
      </c>
      <c r="M85" s="432" t="s">
        <v>1132</v>
      </c>
    </row>
    <row r="86" spans="1:13" ht="34.5" customHeight="1" x14ac:dyDescent="0.25">
      <c r="A86" s="409">
        <v>81</v>
      </c>
      <c r="B86" s="426" t="s">
        <v>1002</v>
      </c>
      <c r="C86" s="434">
        <v>42988</v>
      </c>
      <c r="D86" s="412" t="s">
        <v>380</v>
      </c>
      <c r="E86" s="423" t="s">
        <v>1054</v>
      </c>
      <c r="F86" s="416" t="s">
        <v>1133</v>
      </c>
      <c r="G86" s="428"/>
      <c r="H86" s="432"/>
      <c r="I86" s="423"/>
      <c r="J86" s="423"/>
      <c r="K86" s="423"/>
      <c r="L86" s="423"/>
      <c r="M86" s="433"/>
    </row>
    <row r="87" spans="1:13" ht="34.5" customHeight="1" x14ac:dyDescent="0.25">
      <c r="A87" s="409">
        <v>82</v>
      </c>
      <c r="B87" s="426" t="s">
        <v>1002</v>
      </c>
      <c r="C87" s="434">
        <v>42989</v>
      </c>
      <c r="D87" s="412" t="s">
        <v>381</v>
      </c>
      <c r="E87" s="423" t="s">
        <v>908</v>
      </c>
      <c r="F87" s="416" t="s">
        <v>1134</v>
      </c>
      <c r="G87" s="428" t="s">
        <v>1035</v>
      </c>
      <c r="H87" s="432" t="s">
        <v>1135</v>
      </c>
      <c r="I87" s="423" t="s">
        <v>394</v>
      </c>
      <c r="J87" s="423" t="s">
        <v>1093</v>
      </c>
      <c r="K87" s="423">
        <v>50</v>
      </c>
      <c r="L87" s="423" t="s">
        <v>1094</v>
      </c>
      <c r="M87" s="432" t="s">
        <v>1136</v>
      </c>
    </row>
    <row r="88" spans="1:13" ht="34.5" customHeight="1" x14ac:dyDescent="0.25">
      <c r="A88" s="409">
        <v>83</v>
      </c>
      <c r="B88" s="426" t="s">
        <v>1002</v>
      </c>
      <c r="C88" s="434">
        <v>42989</v>
      </c>
      <c r="D88" s="412" t="s">
        <v>382</v>
      </c>
      <c r="E88" s="423" t="s">
        <v>908</v>
      </c>
      <c r="F88" s="416" t="s">
        <v>1137</v>
      </c>
      <c r="G88" s="428" t="s">
        <v>1035</v>
      </c>
      <c r="H88" s="432" t="s">
        <v>1138</v>
      </c>
      <c r="I88" s="423" t="s">
        <v>394</v>
      </c>
      <c r="J88" s="423" t="s">
        <v>1093</v>
      </c>
      <c r="K88" s="423">
        <v>0</v>
      </c>
      <c r="L88" s="423" t="s">
        <v>1094</v>
      </c>
      <c r="M88" s="433" t="s">
        <v>1139</v>
      </c>
    </row>
    <row r="89" spans="1:13" ht="26.25" x14ac:dyDescent="0.25">
      <c r="A89" s="409">
        <v>84</v>
      </c>
      <c r="B89" s="426" t="s">
        <v>1002</v>
      </c>
      <c r="C89" s="434">
        <v>42989</v>
      </c>
      <c r="D89" s="412" t="s">
        <v>381</v>
      </c>
      <c r="E89" s="423" t="s">
        <v>908</v>
      </c>
      <c r="F89" s="416" t="s">
        <v>1140</v>
      </c>
      <c r="G89" s="428" t="s">
        <v>1035</v>
      </c>
      <c r="H89" s="432" t="s">
        <v>1141</v>
      </c>
      <c r="I89" s="423" t="s">
        <v>394</v>
      </c>
      <c r="J89" s="423" t="s">
        <v>1093</v>
      </c>
      <c r="K89" s="423">
        <v>50</v>
      </c>
      <c r="L89" s="423" t="s">
        <v>1094</v>
      </c>
      <c r="M89" s="432" t="s">
        <v>1142</v>
      </c>
    </row>
    <row r="90" spans="1:13" ht="34.5" customHeight="1" x14ac:dyDescent="0.25">
      <c r="A90" s="409">
        <v>85</v>
      </c>
      <c r="B90" s="437" t="s">
        <v>899</v>
      </c>
      <c r="C90" s="434">
        <v>43152</v>
      </c>
      <c r="D90" s="412" t="s">
        <v>1143</v>
      </c>
      <c r="E90" s="423" t="s">
        <v>1144</v>
      </c>
      <c r="F90" s="416" t="s">
        <v>1145</v>
      </c>
      <c r="G90" s="428" t="s">
        <v>1035</v>
      </c>
      <c r="H90" s="432"/>
      <c r="I90" s="423"/>
      <c r="J90" s="423"/>
      <c r="K90" s="423"/>
      <c r="L90" s="423"/>
      <c r="M90" s="433"/>
    </row>
    <row r="91" spans="1:13" ht="34.5" customHeight="1" x14ac:dyDescent="0.25">
      <c r="A91" s="409">
        <v>86</v>
      </c>
      <c r="B91" s="437" t="s">
        <v>899</v>
      </c>
      <c r="C91" s="434">
        <v>43152</v>
      </c>
      <c r="D91" s="412" t="s">
        <v>1143</v>
      </c>
      <c r="E91" s="423" t="s">
        <v>1144</v>
      </c>
      <c r="F91" s="416" t="s">
        <v>1146</v>
      </c>
      <c r="G91" s="428" t="s">
        <v>1035</v>
      </c>
      <c r="H91" s="432"/>
      <c r="I91" s="423"/>
      <c r="J91" s="423"/>
      <c r="K91" s="423"/>
      <c r="L91" s="423"/>
      <c r="M91" s="433"/>
    </row>
    <row r="92" spans="1:13" ht="34.5" customHeight="1" x14ac:dyDescent="0.25">
      <c r="A92" s="409">
        <v>87</v>
      </c>
      <c r="B92" s="437" t="s">
        <v>899</v>
      </c>
      <c r="C92" s="434">
        <v>43152</v>
      </c>
      <c r="D92" s="412" t="s">
        <v>1143</v>
      </c>
      <c r="E92" s="423" t="s">
        <v>1144</v>
      </c>
      <c r="F92" s="416" t="s">
        <v>1147</v>
      </c>
      <c r="G92" s="428" t="s">
        <v>1035</v>
      </c>
      <c r="H92" s="432"/>
      <c r="I92" s="423"/>
      <c r="J92" s="423"/>
      <c r="K92" s="423"/>
      <c r="L92" s="423"/>
      <c r="M92" s="433"/>
    </row>
    <row r="93" spans="1:13" ht="34.5" customHeight="1" x14ac:dyDescent="0.25">
      <c r="A93" s="409">
        <v>88</v>
      </c>
      <c r="B93" s="437" t="s">
        <v>899</v>
      </c>
      <c r="C93" s="434">
        <v>43152</v>
      </c>
      <c r="D93" s="412" t="s">
        <v>1143</v>
      </c>
      <c r="E93" s="423" t="s">
        <v>1144</v>
      </c>
      <c r="F93" s="416" t="s">
        <v>1148</v>
      </c>
      <c r="G93" s="428" t="s">
        <v>1035</v>
      </c>
      <c r="H93" s="432"/>
      <c r="I93" s="423"/>
      <c r="J93" s="423"/>
      <c r="K93" s="423"/>
      <c r="L93" s="423"/>
      <c r="M93" s="433"/>
    </row>
    <row r="94" spans="1:13" ht="34.5" customHeight="1" x14ac:dyDescent="0.25">
      <c r="A94" s="409">
        <v>89</v>
      </c>
      <c r="B94" s="437" t="s">
        <v>899</v>
      </c>
      <c r="C94" s="434">
        <v>43152</v>
      </c>
      <c r="D94" s="412" t="s">
        <v>379</v>
      </c>
      <c r="E94" s="423" t="s">
        <v>1144</v>
      </c>
      <c r="F94" s="416" t="s">
        <v>1149</v>
      </c>
      <c r="G94" s="428" t="s">
        <v>1035</v>
      </c>
      <c r="H94" s="432"/>
      <c r="I94" s="423"/>
      <c r="J94" s="423"/>
      <c r="K94" s="423"/>
      <c r="L94" s="423"/>
      <c r="M94" s="433"/>
    </row>
    <row r="95" spans="1:13" ht="34.5" customHeight="1" x14ac:dyDescent="0.25">
      <c r="A95" s="409">
        <v>90</v>
      </c>
      <c r="B95" s="437" t="s">
        <v>899</v>
      </c>
      <c r="C95" s="434">
        <v>43152</v>
      </c>
      <c r="D95" s="412" t="s">
        <v>379</v>
      </c>
      <c r="E95" s="423" t="s">
        <v>1144</v>
      </c>
      <c r="F95" s="416" t="s">
        <v>1150</v>
      </c>
      <c r="G95" s="428" t="s">
        <v>1035</v>
      </c>
      <c r="H95" s="432"/>
      <c r="I95" s="423"/>
      <c r="J95" s="423"/>
      <c r="K95" s="423"/>
      <c r="L95" s="423"/>
      <c r="M95" s="433"/>
    </row>
    <row r="96" spans="1:13" ht="34.5" customHeight="1" x14ac:dyDescent="0.25">
      <c r="A96" s="409">
        <v>91</v>
      </c>
      <c r="B96" s="437" t="s">
        <v>899</v>
      </c>
      <c r="C96" s="434">
        <v>43152</v>
      </c>
      <c r="D96" s="412" t="s">
        <v>379</v>
      </c>
      <c r="E96" s="423" t="s">
        <v>1144</v>
      </c>
      <c r="F96" s="416" t="s">
        <v>1151</v>
      </c>
      <c r="G96" s="428" t="s">
        <v>1065</v>
      </c>
      <c r="H96" s="432"/>
      <c r="I96" s="423"/>
      <c r="J96" s="423"/>
      <c r="K96" s="423"/>
      <c r="L96" s="423"/>
      <c r="M96" s="433"/>
    </row>
    <row r="97" spans="1:13" ht="34.5" customHeight="1" x14ac:dyDescent="0.25">
      <c r="A97" s="409">
        <v>92</v>
      </c>
      <c r="B97" s="437" t="s">
        <v>899</v>
      </c>
      <c r="C97" s="434">
        <v>43152</v>
      </c>
      <c r="D97" s="412" t="s">
        <v>1143</v>
      </c>
      <c r="E97" s="423" t="s">
        <v>1144</v>
      </c>
      <c r="F97" s="416" t="s">
        <v>1152</v>
      </c>
      <c r="G97" s="428" t="s">
        <v>1065</v>
      </c>
      <c r="H97" s="432"/>
      <c r="I97" s="423"/>
      <c r="J97" s="423"/>
      <c r="K97" s="423"/>
      <c r="L97" s="423"/>
      <c r="M97" s="433"/>
    </row>
    <row r="98" spans="1:13" ht="34.5" customHeight="1" x14ac:dyDescent="0.25">
      <c r="A98" s="409">
        <v>93</v>
      </c>
      <c r="B98" s="437" t="s">
        <v>899</v>
      </c>
      <c r="C98" s="434">
        <v>43152</v>
      </c>
      <c r="D98" s="412" t="s">
        <v>1153</v>
      </c>
      <c r="E98" s="423" t="s">
        <v>1144</v>
      </c>
      <c r="F98" s="416" t="s">
        <v>1154</v>
      </c>
      <c r="G98" s="428" t="s">
        <v>1065</v>
      </c>
      <c r="H98" s="432"/>
      <c r="I98" s="423"/>
      <c r="J98" s="423"/>
      <c r="K98" s="423"/>
      <c r="L98" s="423"/>
      <c r="M98" s="433"/>
    </row>
    <row r="99" spans="1:13" ht="34.5" customHeight="1" x14ac:dyDescent="0.25">
      <c r="A99" s="409">
        <v>94</v>
      </c>
      <c r="B99" s="437" t="s">
        <v>899</v>
      </c>
      <c r="C99" s="434">
        <v>43152</v>
      </c>
      <c r="D99" s="412" t="s">
        <v>1153</v>
      </c>
      <c r="E99" s="423" t="s">
        <v>1144</v>
      </c>
      <c r="F99" s="416" t="s">
        <v>1155</v>
      </c>
      <c r="G99" s="428" t="s">
        <v>1065</v>
      </c>
      <c r="H99" s="432"/>
      <c r="I99" s="423"/>
      <c r="J99" s="423"/>
      <c r="K99" s="423"/>
      <c r="L99" s="423"/>
      <c r="M99" s="433"/>
    </row>
    <row r="100" spans="1:13" ht="34.5" customHeight="1" x14ac:dyDescent="0.25">
      <c r="A100" s="409">
        <v>95</v>
      </c>
      <c r="B100" s="437" t="s">
        <v>899</v>
      </c>
      <c r="C100" s="434">
        <v>43152</v>
      </c>
      <c r="D100" s="412" t="s">
        <v>379</v>
      </c>
      <c r="E100" s="423" t="s">
        <v>1144</v>
      </c>
      <c r="F100" s="416" t="s">
        <v>1156</v>
      </c>
      <c r="G100" s="428" t="s">
        <v>1035</v>
      </c>
      <c r="H100" s="432"/>
      <c r="I100" s="423"/>
      <c r="J100" s="423"/>
      <c r="K100" s="423"/>
      <c r="L100" s="423"/>
      <c r="M100" s="433"/>
    </row>
    <row r="101" spans="1:13" ht="34.5" customHeight="1" x14ac:dyDescent="0.25">
      <c r="A101" s="409">
        <v>96</v>
      </c>
      <c r="B101" s="437" t="s">
        <v>899</v>
      </c>
      <c r="C101" s="434">
        <v>43152</v>
      </c>
      <c r="D101" s="412" t="s">
        <v>379</v>
      </c>
      <c r="E101" s="423" t="s">
        <v>1144</v>
      </c>
      <c r="F101" s="416" t="s">
        <v>1157</v>
      </c>
      <c r="G101" s="428" t="s">
        <v>1035</v>
      </c>
      <c r="H101" s="432"/>
      <c r="I101" s="423"/>
      <c r="J101" s="423"/>
      <c r="K101" s="423"/>
      <c r="L101" s="423"/>
      <c r="M101" s="433"/>
    </row>
    <row r="102" spans="1:13" ht="34.5" customHeight="1" x14ac:dyDescent="0.25">
      <c r="A102" s="409">
        <v>97</v>
      </c>
      <c r="B102" s="437" t="s">
        <v>899</v>
      </c>
      <c r="C102" s="434">
        <v>43152</v>
      </c>
      <c r="D102" s="412" t="s">
        <v>1143</v>
      </c>
      <c r="E102" s="423" t="s">
        <v>1144</v>
      </c>
      <c r="F102" s="416" t="s">
        <v>1158</v>
      </c>
      <c r="G102" s="428" t="s">
        <v>1065</v>
      </c>
      <c r="H102" s="432"/>
      <c r="I102" s="423"/>
      <c r="J102" s="423"/>
      <c r="K102" s="423"/>
      <c r="L102" s="423"/>
      <c r="M102" s="433"/>
    </row>
    <row r="103" spans="1:13" ht="34.5" customHeight="1" x14ac:dyDescent="0.25">
      <c r="A103" s="409">
        <v>98</v>
      </c>
      <c r="B103" s="437" t="s">
        <v>899</v>
      </c>
      <c r="C103" s="434">
        <v>43152</v>
      </c>
      <c r="D103" s="412" t="s">
        <v>1153</v>
      </c>
      <c r="E103" s="423" t="s">
        <v>1144</v>
      </c>
      <c r="F103" s="416" t="s">
        <v>1159</v>
      </c>
      <c r="G103" s="428" t="s">
        <v>1065</v>
      </c>
      <c r="H103" s="432"/>
      <c r="I103" s="423"/>
      <c r="J103" s="423"/>
      <c r="K103" s="423"/>
      <c r="L103" s="423"/>
      <c r="M103" s="433"/>
    </row>
    <row r="104" spans="1:13" ht="34.5" customHeight="1" x14ac:dyDescent="0.25">
      <c r="A104" s="409">
        <v>99</v>
      </c>
      <c r="B104" s="437" t="s">
        <v>899</v>
      </c>
      <c r="C104" s="434">
        <v>43152</v>
      </c>
      <c r="D104" s="412" t="s">
        <v>1143</v>
      </c>
      <c r="E104" s="423" t="s">
        <v>1144</v>
      </c>
      <c r="F104" s="416" t="s">
        <v>1160</v>
      </c>
      <c r="G104" s="428" t="s">
        <v>1035</v>
      </c>
      <c r="H104" s="432"/>
      <c r="I104" s="423"/>
      <c r="J104" s="423"/>
      <c r="K104" s="423"/>
      <c r="L104" s="423"/>
      <c r="M104" s="433"/>
    </row>
    <row r="105" spans="1:13" ht="34.5" customHeight="1" x14ac:dyDescent="0.25">
      <c r="A105" s="409">
        <v>100</v>
      </c>
      <c r="B105" s="437" t="s">
        <v>899</v>
      </c>
      <c r="C105" s="434">
        <v>43152</v>
      </c>
      <c r="D105" s="412" t="s">
        <v>1143</v>
      </c>
      <c r="E105" s="423" t="s">
        <v>1144</v>
      </c>
      <c r="F105" s="416" t="s">
        <v>1161</v>
      </c>
      <c r="G105" s="428" t="s">
        <v>1035</v>
      </c>
      <c r="H105" s="432"/>
      <c r="I105" s="423"/>
      <c r="J105" s="423"/>
      <c r="K105" s="423"/>
      <c r="L105" s="423"/>
      <c r="M105" s="433"/>
    </row>
    <row r="106" spans="1:13" ht="34.5" customHeight="1" x14ac:dyDescent="0.25">
      <c r="A106" s="409">
        <v>101</v>
      </c>
      <c r="B106" s="437" t="s">
        <v>899</v>
      </c>
      <c r="C106" s="434">
        <v>43152</v>
      </c>
      <c r="D106" s="412" t="s">
        <v>1143</v>
      </c>
      <c r="E106" s="423" t="s">
        <v>1144</v>
      </c>
      <c r="F106" s="416" t="s">
        <v>1162</v>
      </c>
      <c r="G106" s="428" t="s">
        <v>1035</v>
      </c>
      <c r="H106" s="432"/>
      <c r="I106" s="423"/>
      <c r="J106" s="423"/>
      <c r="K106" s="423"/>
      <c r="L106" s="423"/>
      <c r="M106" s="433"/>
    </row>
    <row r="107" spans="1:13" ht="34.5" customHeight="1" x14ac:dyDescent="0.25">
      <c r="A107" s="409">
        <v>102</v>
      </c>
      <c r="B107" s="437" t="s">
        <v>899</v>
      </c>
      <c r="C107" s="434">
        <v>43152</v>
      </c>
      <c r="D107" s="412" t="s">
        <v>1163</v>
      </c>
      <c r="E107" s="423" t="s">
        <v>1144</v>
      </c>
      <c r="F107" s="416" t="s">
        <v>1164</v>
      </c>
      <c r="G107" s="428" t="s">
        <v>1035</v>
      </c>
      <c r="H107" s="432"/>
      <c r="I107" s="423"/>
      <c r="J107" s="423"/>
      <c r="K107" s="423"/>
      <c r="L107" s="423"/>
      <c r="M107" s="433"/>
    </row>
    <row r="108" spans="1:13" ht="25.5" x14ac:dyDescent="0.25">
      <c r="A108" s="409">
        <v>103</v>
      </c>
      <c r="B108" s="437" t="s">
        <v>899</v>
      </c>
      <c r="C108" s="434">
        <v>43152</v>
      </c>
      <c r="D108" s="412" t="s">
        <v>1163</v>
      </c>
      <c r="E108" s="423" t="s">
        <v>1144</v>
      </c>
      <c r="F108" s="416" t="s">
        <v>1165</v>
      </c>
      <c r="G108" s="428" t="s">
        <v>1065</v>
      </c>
      <c r="H108" s="432"/>
      <c r="I108" s="423"/>
      <c r="J108" s="423"/>
      <c r="K108" s="423"/>
      <c r="L108" s="423"/>
      <c r="M108" s="433"/>
    </row>
    <row r="109" spans="1:13" ht="34.5" customHeight="1" x14ac:dyDescent="0.25">
      <c r="A109" s="409">
        <v>104</v>
      </c>
      <c r="B109" s="437" t="s">
        <v>937</v>
      </c>
      <c r="C109" s="434">
        <v>43172</v>
      </c>
      <c r="D109" s="412" t="s">
        <v>381</v>
      </c>
      <c r="E109" s="423" t="s">
        <v>1166</v>
      </c>
      <c r="F109" s="416" t="s">
        <v>1167</v>
      </c>
      <c r="G109" s="428" t="s">
        <v>1065</v>
      </c>
      <c r="H109" s="432" t="s">
        <v>1168</v>
      </c>
      <c r="I109" s="423" t="s">
        <v>923</v>
      </c>
      <c r="J109" s="423" t="s">
        <v>1065</v>
      </c>
      <c r="K109" s="424">
        <v>0.5</v>
      </c>
      <c r="L109" s="430">
        <v>43172</v>
      </c>
      <c r="M109" s="432" t="s">
        <v>1169</v>
      </c>
    </row>
    <row r="110" spans="1:13" ht="34.5" customHeight="1" x14ac:dyDescent="0.25">
      <c r="A110" s="409">
        <v>105</v>
      </c>
      <c r="B110" s="437" t="s">
        <v>937</v>
      </c>
      <c r="C110" s="434">
        <v>43172</v>
      </c>
      <c r="D110" s="412" t="s">
        <v>380</v>
      </c>
      <c r="E110" s="423" t="s">
        <v>1166</v>
      </c>
      <c r="F110" s="416" t="s">
        <v>1170</v>
      </c>
      <c r="G110" s="428" t="s">
        <v>1065</v>
      </c>
      <c r="H110" s="432" t="s">
        <v>1171</v>
      </c>
      <c r="I110" s="423" t="s">
        <v>395</v>
      </c>
      <c r="J110" s="423" t="s">
        <v>1065</v>
      </c>
      <c r="K110" s="424">
        <v>1</v>
      </c>
      <c r="L110" s="430">
        <v>43172</v>
      </c>
      <c r="M110" s="433"/>
    </row>
    <row r="111" spans="1:13" ht="34.5" customHeight="1" x14ac:dyDescent="0.25">
      <c r="A111" s="409">
        <v>106</v>
      </c>
      <c r="B111" s="437" t="s">
        <v>937</v>
      </c>
      <c r="C111" s="434">
        <v>43172</v>
      </c>
      <c r="D111" s="412" t="s">
        <v>380</v>
      </c>
      <c r="E111" s="423" t="s">
        <v>1166</v>
      </c>
      <c r="F111" s="416" t="s">
        <v>1172</v>
      </c>
      <c r="G111" s="428" t="s">
        <v>1065</v>
      </c>
      <c r="H111" s="432" t="s">
        <v>1173</v>
      </c>
      <c r="I111" s="423" t="s">
        <v>395</v>
      </c>
      <c r="J111" s="423" t="s">
        <v>1065</v>
      </c>
      <c r="K111" s="424">
        <v>0.5</v>
      </c>
      <c r="L111" s="430">
        <v>43172</v>
      </c>
      <c r="M111" s="433"/>
    </row>
    <row r="112" spans="1:13" ht="34.5" customHeight="1" x14ac:dyDescent="0.25">
      <c r="A112" s="409">
        <v>107</v>
      </c>
      <c r="B112" s="437" t="s">
        <v>937</v>
      </c>
      <c r="C112" s="434">
        <v>43172</v>
      </c>
      <c r="D112" s="412" t="s">
        <v>381</v>
      </c>
      <c r="E112" s="423" t="s">
        <v>1055</v>
      </c>
      <c r="F112" s="416" t="s">
        <v>1174</v>
      </c>
      <c r="G112" s="428" t="s">
        <v>1065</v>
      </c>
      <c r="H112" s="432" t="s">
        <v>1175</v>
      </c>
      <c r="I112" s="423" t="s">
        <v>395</v>
      </c>
      <c r="J112" s="423" t="s">
        <v>1065</v>
      </c>
      <c r="K112" s="424">
        <v>0.5</v>
      </c>
      <c r="L112" s="430">
        <v>43173</v>
      </c>
      <c r="M112" s="433"/>
    </row>
    <row r="113" spans="1:13" ht="55.35" customHeight="1" x14ac:dyDescent="0.25">
      <c r="A113" s="409">
        <v>108</v>
      </c>
      <c r="B113" s="437" t="s">
        <v>937</v>
      </c>
      <c r="C113" s="434">
        <v>43172</v>
      </c>
      <c r="D113" s="412" t="s">
        <v>380</v>
      </c>
      <c r="E113" s="423" t="s">
        <v>1055</v>
      </c>
      <c r="F113" s="416" t="s">
        <v>1176</v>
      </c>
      <c r="G113" s="428" t="s">
        <v>1065</v>
      </c>
      <c r="H113" s="432" t="s">
        <v>1177</v>
      </c>
      <c r="I113" s="423" t="s">
        <v>394</v>
      </c>
      <c r="J113" s="423" t="s">
        <v>1065</v>
      </c>
      <c r="K113" s="424">
        <v>0.5</v>
      </c>
      <c r="L113" s="430">
        <v>43173</v>
      </c>
      <c r="M113" s="433"/>
    </row>
    <row r="114" spans="1:13" ht="34.5" customHeight="1" x14ac:dyDescent="0.25">
      <c r="A114" s="409">
        <v>109</v>
      </c>
      <c r="B114" s="437" t="s">
        <v>937</v>
      </c>
      <c r="C114" s="434">
        <v>43173</v>
      </c>
      <c r="D114" s="412" t="s">
        <v>379</v>
      </c>
      <c r="E114" s="423" t="s">
        <v>930</v>
      </c>
      <c r="F114" s="416" t="s">
        <v>1178</v>
      </c>
      <c r="G114" s="428" t="s">
        <v>1035</v>
      </c>
      <c r="H114" s="432"/>
      <c r="I114" s="423" t="s">
        <v>394</v>
      </c>
      <c r="J114" s="423" t="s">
        <v>1179</v>
      </c>
      <c r="K114" s="424">
        <v>1</v>
      </c>
      <c r="L114" s="430">
        <v>42807</v>
      </c>
      <c r="M114" s="433"/>
    </row>
    <row r="115" spans="1:13" ht="34.5" customHeight="1" x14ac:dyDescent="0.25">
      <c r="A115" s="409">
        <v>110</v>
      </c>
      <c r="B115" s="437" t="s">
        <v>937</v>
      </c>
      <c r="C115" s="434">
        <v>43173</v>
      </c>
      <c r="D115" s="412" t="s">
        <v>380</v>
      </c>
      <c r="E115" s="423" t="s">
        <v>1180</v>
      </c>
      <c r="F115" s="416" t="s">
        <v>1181</v>
      </c>
      <c r="G115" s="428" t="s">
        <v>1035</v>
      </c>
      <c r="H115" s="432" t="s">
        <v>1182</v>
      </c>
      <c r="I115" s="423" t="s">
        <v>395</v>
      </c>
      <c r="J115" s="423" t="s">
        <v>1065</v>
      </c>
      <c r="K115" s="424">
        <v>0.5</v>
      </c>
      <c r="L115" s="430">
        <v>42808</v>
      </c>
      <c r="M115" s="433"/>
    </row>
    <row r="116" spans="1:13" ht="34.5" customHeight="1" x14ac:dyDescent="0.25">
      <c r="A116" s="409">
        <v>111</v>
      </c>
      <c r="B116" s="437" t="s">
        <v>937</v>
      </c>
      <c r="C116" s="434">
        <v>43173</v>
      </c>
      <c r="D116" s="412" t="s">
        <v>380</v>
      </c>
      <c r="E116" s="423" t="s">
        <v>930</v>
      </c>
      <c r="F116" s="416" t="s">
        <v>1183</v>
      </c>
      <c r="G116" s="428" t="s">
        <v>1035</v>
      </c>
      <c r="H116" s="432" t="s">
        <v>1184</v>
      </c>
      <c r="I116" s="423" t="s">
        <v>395</v>
      </c>
      <c r="J116" s="423" t="s">
        <v>1065</v>
      </c>
      <c r="K116" s="424">
        <v>0.5</v>
      </c>
      <c r="L116" s="430">
        <v>42808</v>
      </c>
      <c r="M116" s="433"/>
    </row>
    <row r="117" spans="1:13" ht="34.5" customHeight="1" x14ac:dyDescent="0.25">
      <c r="A117" s="409">
        <v>112</v>
      </c>
      <c r="B117" s="437" t="s">
        <v>937</v>
      </c>
      <c r="C117" s="434">
        <v>43173</v>
      </c>
      <c r="D117" s="412" t="s">
        <v>381</v>
      </c>
      <c r="E117" s="423" t="s">
        <v>1055</v>
      </c>
      <c r="F117" s="416" t="s">
        <v>1185</v>
      </c>
      <c r="G117" s="428" t="s">
        <v>1035</v>
      </c>
      <c r="H117" s="432" t="s">
        <v>1186</v>
      </c>
      <c r="I117" s="423" t="s">
        <v>394</v>
      </c>
      <c r="J117" s="423" t="s">
        <v>1187</v>
      </c>
      <c r="K117" s="424">
        <v>1</v>
      </c>
      <c r="L117" s="430">
        <v>42808</v>
      </c>
      <c r="M117" s="433" t="s">
        <v>1188</v>
      </c>
    </row>
    <row r="118" spans="1:13" ht="34.5" customHeight="1" x14ac:dyDescent="0.25">
      <c r="A118" s="409">
        <v>113</v>
      </c>
      <c r="B118" s="437" t="s">
        <v>937</v>
      </c>
      <c r="C118" s="434">
        <v>43173</v>
      </c>
      <c r="D118" s="412" t="s">
        <v>379</v>
      </c>
      <c r="E118" s="423" t="s">
        <v>930</v>
      </c>
      <c r="F118" s="416" t="s">
        <v>1189</v>
      </c>
      <c r="G118" s="428" t="s">
        <v>1035</v>
      </c>
      <c r="H118" s="432" t="s">
        <v>1190</v>
      </c>
      <c r="I118" s="423" t="s">
        <v>395</v>
      </c>
      <c r="J118" s="423" t="s">
        <v>1180</v>
      </c>
      <c r="K118" s="424">
        <v>1</v>
      </c>
      <c r="L118" s="430">
        <v>42808</v>
      </c>
      <c r="M118" s="433"/>
    </row>
    <row r="119" spans="1:13" ht="34.5" customHeight="1" x14ac:dyDescent="0.25">
      <c r="A119" s="409">
        <v>114</v>
      </c>
      <c r="B119" s="437" t="s">
        <v>937</v>
      </c>
      <c r="C119" s="434">
        <v>43173</v>
      </c>
      <c r="D119" s="412" t="s">
        <v>379</v>
      </c>
      <c r="E119" s="423" t="s">
        <v>1054</v>
      </c>
      <c r="F119" s="416" t="s">
        <v>1191</v>
      </c>
      <c r="G119" s="428" t="s">
        <v>1035</v>
      </c>
      <c r="H119" s="432"/>
      <c r="I119" s="423" t="s">
        <v>395</v>
      </c>
      <c r="J119" s="423" t="s">
        <v>1054</v>
      </c>
      <c r="K119" s="424">
        <v>1</v>
      </c>
      <c r="L119" s="430">
        <v>42808</v>
      </c>
      <c r="M119" s="433"/>
    </row>
    <row r="120" spans="1:13" ht="34.5" customHeight="1" x14ac:dyDescent="0.25">
      <c r="A120" s="409">
        <v>115</v>
      </c>
      <c r="B120" s="437" t="s">
        <v>937</v>
      </c>
      <c r="C120" s="434">
        <v>43173</v>
      </c>
      <c r="D120" s="412" t="s">
        <v>382</v>
      </c>
      <c r="E120" s="423" t="s">
        <v>1192</v>
      </c>
      <c r="F120" s="416" t="s">
        <v>1193</v>
      </c>
      <c r="G120" s="428" t="s">
        <v>1035</v>
      </c>
      <c r="H120" s="432" t="s">
        <v>1194</v>
      </c>
      <c r="I120" s="423" t="s">
        <v>395</v>
      </c>
      <c r="J120" s="423" t="s">
        <v>1195</v>
      </c>
      <c r="K120" s="424">
        <v>1</v>
      </c>
      <c r="L120" s="430">
        <v>42808</v>
      </c>
      <c r="M120" s="433"/>
    </row>
    <row r="121" spans="1:13" ht="34.5" customHeight="1" x14ac:dyDescent="0.25">
      <c r="A121" s="409">
        <v>116</v>
      </c>
      <c r="B121" s="437" t="s">
        <v>937</v>
      </c>
      <c r="C121" s="434">
        <v>43173</v>
      </c>
      <c r="D121" s="412" t="s">
        <v>382</v>
      </c>
      <c r="E121" s="423" t="s">
        <v>1055</v>
      </c>
      <c r="F121" s="416" t="s">
        <v>1196</v>
      </c>
      <c r="G121" s="428" t="s">
        <v>1035</v>
      </c>
      <c r="H121" s="432" t="s">
        <v>1197</v>
      </c>
      <c r="I121" s="423" t="s">
        <v>395</v>
      </c>
      <c r="J121" s="423" t="s">
        <v>1054</v>
      </c>
      <c r="K121" s="424">
        <v>0</v>
      </c>
      <c r="L121" s="423"/>
      <c r="M121" s="433"/>
    </row>
    <row r="122" spans="1:13" ht="34.5" customHeight="1" x14ac:dyDescent="0.25">
      <c r="A122" s="409">
        <v>117</v>
      </c>
      <c r="B122" s="437" t="s">
        <v>969</v>
      </c>
      <c r="C122" s="434">
        <v>43197</v>
      </c>
      <c r="D122" s="412" t="s">
        <v>382</v>
      </c>
      <c r="E122" s="423" t="s">
        <v>1198</v>
      </c>
      <c r="F122" s="416" t="s">
        <v>1199</v>
      </c>
      <c r="G122" s="428" t="s">
        <v>1035</v>
      </c>
      <c r="H122" s="432"/>
      <c r="I122" s="423"/>
      <c r="J122" s="423"/>
      <c r="K122" s="423"/>
      <c r="L122" s="423"/>
      <c r="M122" s="433"/>
    </row>
    <row r="123" spans="1:13" ht="34.5" customHeight="1" x14ac:dyDescent="0.25">
      <c r="A123" s="409">
        <v>118</v>
      </c>
      <c r="B123" s="437" t="s">
        <v>969</v>
      </c>
      <c r="C123" s="434">
        <v>43198</v>
      </c>
      <c r="D123" s="412" t="s">
        <v>381</v>
      </c>
      <c r="E123" s="423" t="s">
        <v>1054</v>
      </c>
      <c r="F123" s="416" t="s">
        <v>1200</v>
      </c>
      <c r="G123" s="428" t="s">
        <v>1035</v>
      </c>
      <c r="H123" s="432"/>
      <c r="I123" s="423"/>
      <c r="J123" s="423"/>
      <c r="K123" s="423"/>
      <c r="L123" s="423"/>
      <c r="M123" s="433"/>
    </row>
    <row r="124" spans="1:13" ht="34.5" customHeight="1" x14ac:dyDescent="0.25">
      <c r="A124" s="409">
        <v>119</v>
      </c>
      <c r="B124" s="437" t="s">
        <v>969</v>
      </c>
      <c r="C124" s="434">
        <v>43198</v>
      </c>
      <c r="D124" s="412" t="s">
        <v>382</v>
      </c>
      <c r="E124" s="423" t="s">
        <v>1049</v>
      </c>
      <c r="F124" s="416" t="s">
        <v>1201</v>
      </c>
      <c r="G124" s="428" t="s">
        <v>1035</v>
      </c>
      <c r="H124" s="432"/>
      <c r="I124" s="423"/>
      <c r="J124" s="423"/>
      <c r="K124" s="423"/>
      <c r="L124" s="423"/>
      <c r="M124" s="433"/>
    </row>
    <row r="125" spans="1:13" ht="34.5" customHeight="1" x14ac:dyDescent="0.25">
      <c r="A125" s="409">
        <v>120</v>
      </c>
      <c r="B125" s="437" t="s">
        <v>969</v>
      </c>
      <c r="C125" s="434">
        <v>43199</v>
      </c>
      <c r="D125" s="412" t="s">
        <v>382</v>
      </c>
      <c r="E125" s="423" t="s">
        <v>1049</v>
      </c>
      <c r="F125" s="416" t="s">
        <v>1202</v>
      </c>
      <c r="G125" s="428" t="s">
        <v>1035</v>
      </c>
      <c r="H125" s="432"/>
      <c r="I125" s="423"/>
      <c r="J125" s="423"/>
      <c r="K125" s="423"/>
      <c r="L125" s="423"/>
      <c r="M125" s="433"/>
    </row>
    <row r="126" spans="1:13" ht="34.5" customHeight="1" x14ac:dyDescent="0.25">
      <c r="A126" s="409">
        <v>121</v>
      </c>
      <c r="B126" s="437" t="s">
        <v>969</v>
      </c>
      <c r="C126" s="434">
        <v>43199</v>
      </c>
      <c r="D126" s="412" t="s">
        <v>381</v>
      </c>
      <c r="E126" s="423" t="s">
        <v>1068</v>
      </c>
      <c r="F126" s="416" t="s">
        <v>1203</v>
      </c>
      <c r="G126" s="428" t="s">
        <v>1035</v>
      </c>
      <c r="H126" s="432"/>
      <c r="I126" s="423"/>
      <c r="J126" s="423"/>
      <c r="K126" s="423"/>
      <c r="L126" s="423"/>
      <c r="M126" s="433"/>
    </row>
    <row r="127" spans="1:13" ht="34.5" customHeight="1" x14ac:dyDescent="0.25">
      <c r="A127" s="409">
        <v>122</v>
      </c>
      <c r="B127" s="437" t="s">
        <v>969</v>
      </c>
      <c r="C127" s="434">
        <v>43197</v>
      </c>
      <c r="D127" s="412" t="s">
        <v>379</v>
      </c>
      <c r="E127" s="423" t="s">
        <v>1198</v>
      </c>
      <c r="F127" s="416" t="s">
        <v>1204</v>
      </c>
      <c r="G127" s="428" t="s">
        <v>1035</v>
      </c>
      <c r="H127" s="432"/>
      <c r="I127" s="423"/>
      <c r="J127" s="423"/>
      <c r="K127" s="423"/>
      <c r="L127" s="423"/>
      <c r="M127" s="433"/>
    </row>
    <row r="128" spans="1:13" ht="34.5" customHeight="1" x14ac:dyDescent="0.25">
      <c r="A128" s="409">
        <v>123</v>
      </c>
      <c r="B128" s="437" t="s">
        <v>899</v>
      </c>
      <c r="C128" s="434">
        <v>43260</v>
      </c>
      <c r="D128" s="412" t="s">
        <v>379</v>
      </c>
      <c r="E128" s="423" t="s">
        <v>1049</v>
      </c>
      <c r="F128" s="416" t="s">
        <v>1205</v>
      </c>
      <c r="G128" s="428" t="s">
        <v>1035</v>
      </c>
      <c r="H128" s="432"/>
      <c r="I128" s="423"/>
      <c r="J128" s="423"/>
      <c r="K128" s="423"/>
      <c r="L128" s="423"/>
      <c r="M128" s="433"/>
    </row>
    <row r="129" spans="1:13" ht="34.5" customHeight="1" x14ac:dyDescent="0.25">
      <c r="A129" s="409">
        <v>124</v>
      </c>
      <c r="B129" s="437" t="s">
        <v>899</v>
      </c>
      <c r="C129" s="434">
        <v>43260</v>
      </c>
      <c r="D129" s="412" t="s">
        <v>380</v>
      </c>
      <c r="E129" s="423" t="s">
        <v>1049</v>
      </c>
      <c r="F129" s="416" t="s">
        <v>1206</v>
      </c>
      <c r="G129" s="428" t="s">
        <v>1070</v>
      </c>
      <c r="H129" s="432"/>
      <c r="I129" s="423"/>
      <c r="J129" s="423"/>
      <c r="K129" s="423"/>
      <c r="L129" s="423"/>
      <c r="M129" s="433"/>
    </row>
    <row r="130" spans="1:13" x14ac:dyDescent="0.25">
      <c r="A130" s="409">
        <v>125</v>
      </c>
      <c r="B130" s="437" t="s">
        <v>899</v>
      </c>
      <c r="C130" s="434">
        <v>43260</v>
      </c>
      <c r="D130" s="412" t="s">
        <v>380</v>
      </c>
      <c r="E130" s="423" t="s">
        <v>1049</v>
      </c>
      <c r="F130" s="416" t="s">
        <v>1207</v>
      </c>
      <c r="G130" s="428" t="s">
        <v>1035</v>
      </c>
      <c r="H130" s="432"/>
      <c r="I130" s="423"/>
      <c r="J130" s="423"/>
      <c r="K130" s="423"/>
      <c r="L130" s="423"/>
      <c r="M130" s="433"/>
    </row>
    <row r="131" spans="1:13" x14ac:dyDescent="0.25">
      <c r="A131" s="409">
        <v>126</v>
      </c>
      <c r="B131" s="437" t="s">
        <v>899</v>
      </c>
      <c r="C131" s="434">
        <v>43260</v>
      </c>
      <c r="D131" s="412" t="s">
        <v>380</v>
      </c>
      <c r="E131" s="423" t="s">
        <v>1049</v>
      </c>
      <c r="F131" s="416" t="s">
        <v>1208</v>
      </c>
      <c r="G131" s="428" t="s">
        <v>1209</v>
      </c>
      <c r="H131" s="432"/>
      <c r="I131" s="423"/>
      <c r="J131" s="423"/>
      <c r="K131" s="423"/>
      <c r="L131" s="423"/>
      <c r="M131" s="433"/>
    </row>
    <row r="132" spans="1:13" x14ac:dyDescent="0.25">
      <c r="A132" s="409">
        <v>127</v>
      </c>
      <c r="B132" s="437" t="s">
        <v>899</v>
      </c>
      <c r="C132" s="434">
        <v>43260</v>
      </c>
      <c r="D132" s="412" t="s">
        <v>381</v>
      </c>
      <c r="E132" s="423" t="s">
        <v>1210</v>
      </c>
      <c r="F132" s="416" t="s">
        <v>1211</v>
      </c>
      <c r="G132" s="428" t="s">
        <v>1209</v>
      </c>
      <c r="H132" s="432"/>
      <c r="I132" s="423"/>
      <c r="J132" s="423"/>
      <c r="K132" s="423"/>
      <c r="L132" s="423"/>
      <c r="M132" s="433"/>
    </row>
    <row r="133" spans="1:13" x14ac:dyDescent="0.25">
      <c r="A133" s="409">
        <v>128</v>
      </c>
      <c r="B133" s="437" t="s">
        <v>899</v>
      </c>
      <c r="C133" s="434">
        <v>43260</v>
      </c>
      <c r="D133" s="412" t="s">
        <v>381</v>
      </c>
      <c r="E133" s="423" t="s">
        <v>1049</v>
      </c>
      <c r="F133" s="416" t="s">
        <v>1212</v>
      </c>
      <c r="G133" s="428"/>
      <c r="H133" s="432"/>
      <c r="I133" s="423"/>
      <c r="J133" s="423"/>
      <c r="K133" s="423"/>
      <c r="L133" s="423"/>
      <c r="M133" s="433"/>
    </row>
    <row r="134" spans="1:13" x14ac:dyDescent="0.25">
      <c r="A134" s="409">
        <v>129</v>
      </c>
      <c r="B134" s="437" t="s">
        <v>899</v>
      </c>
      <c r="C134" s="434">
        <v>43260</v>
      </c>
      <c r="D134" s="412" t="s">
        <v>381</v>
      </c>
      <c r="E134" s="423" t="s">
        <v>1210</v>
      </c>
      <c r="F134" s="416" t="s">
        <v>1213</v>
      </c>
      <c r="G134" s="428"/>
      <c r="H134" s="432"/>
      <c r="I134" s="423"/>
      <c r="J134" s="423"/>
      <c r="K134" s="423"/>
      <c r="L134" s="423"/>
      <c r="M134" s="433"/>
    </row>
    <row r="135" spans="1:13" ht="25.5" x14ac:dyDescent="0.25">
      <c r="A135" s="409">
        <v>130</v>
      </c>
      <c r="B135" s="437" t="s">
        <v>899</v>
      </c>
      <c r="C135" s="434">
        <v>43260</v>
      </c>
      <c r="D135" s="412" t="s">
        <v>381</v>
      </c>
      <c r="E135" s="423" t="s">
        <v>1049</v>
      </c>
      <c r="F135" s="416" t="s">
        <v>1214</v>
      </c>
      <c r="G135" s="428"/>
      <c r="H135" s="432"/>
      <c r="I135" s="423"/>
      <c r="J135" s="423"/>
      <c r="K135" s="423"/>
      <c r="L135" s="423"/>
      <c r="M135" s="433"/>
    </row>
    <row r="136" spans="1:13" x14ac:dyDescent="0.25">
      <c r="A136" s="409">
        <v>131</v>
      </c>
      <c r="B136" s="437" t="s">
        <v>899</v>
      </c>
      <c r="C136" s="434">
        <v>43260</v>
      </c>
      <c r="D136" s="412" t="s">
        <v>381</v>
      </c>
      <c r="E136" s="423" t="s">
        <v>1054</v>
      </c>
      <c r="F136" s="416" t="s">
        <v>1215</v>
      </c>
      <c r="G136" s="428"/>
      <c r="H136" s="432"/>
      <c r="I136" s="423"/>
      <c r="J136" s="423"/>
      <c r="K136" s="423"/>
      <c r="L136" s="423"/>
      <c r="M136" s="433"/>
    </row>
    <row r="137" spans="1:13" ht="25.5" x14ac:dyDescent="0.25">
      <c r="A137" s="409">
        <v>132</v>
      </c>
      <c r="B137" s="437" t="s">
        <v>899</v>
      </c>
      <c r="C137" s="434">
        <v>43260</v>
      </c>
      <c r="D137" s="412" t="s">
        <v>381</v>
      </c>
      <c r="E137" s="423" t="s">
        <v>1049</v>
      </c>
      <c r="F137" s="416" t="s">
        <v>1216</v>
      </c>
      <c r="G137" s="428"/>
      <c r="H137" s="432"/>
      <c r="I137" s="423"/>
      <c r="J137" s="423"/>
      <c r="K137" s="423"/>
      <c r="L137" s="423"/>
      <c r="M137" s="433"/>
    </row>
    <row r="138" spans="1:13" x14ac:dyDescent="0.25">
      <c r="A138" s="409">
        <v>133</v>
      </c>
      <c r="B138" s="437" t="s">
        <v>899</v>
      </c>
      <c r="C138" s="434">
        <v>43260</v>
      </c>
      <c r="D138" s="412" t="s">
        <v>382</v>
      </c>
      <c r="E138" s="423" t="s">
        <v>1049</v>
      </c>
      <c r="F138" s="416" t="s">
        <v>1217</v>
      </c>
      <c r="G138" s="428"/>
      <c r="H138" s="432"/>
      <c r="I138" s="423"/>
      <c r="J138" s="423"/>
      <c r="K138" s="423"/>
      <c r="L138" s="423"/>
      <c r="M138" s="433"/>
    </row>
    <row r="139" spans="1:13" x14ac:dyDescent="0.25">
      <c r="A139" s="409">
        <v>134</v>
      </c>
      <c r="B139" s="437" t="s">
        <v>899</v>
      </c>
      <c r="C139" s="434">
        <v>44082</v>
      </c>
      <c r="D139" s="412" t="s">
        <v>379</v>
      </c>
      <c r="E139" s="423" t="s">
        <v>1509</v>
      </c>
      <c r="F139" s="416" t="s">
        <v>1204</v>
      </c>
      <c r="G139" s="428" t="s">
        <v>1035</v>
      </c>
      <c r="H139" s="432"/>
      <c r="I139" s="423"/>
      <c r="J139" s="423"/>
      <c r="K139" s="423"/>
      <c r="L139" s="423"/>
      <c r="M139" s="433"/>
    </row>
    <row r="140" spans="1:13" ht="26.25" x14ac:dyDescent="0.25">
      <c r="A140" s="409">
        <v>135</v>
      </c>
      <c r="B140" s="437" t="s">
        <v>899</v>
      </c>
      <c r="C140" s="434">
        <v>44082</v>
      </c>
      <c r="D140" s="412" t="s">
        <v>381</v>
      </c>
      <c r="E140" s="423" t="s">
        <v>1509</v>
      </c>
      <c r="F140" s="416" t="s">
        <v>1510</v>
      </c>
      <c r="G140" s="428" t="s">
        <v>1065</v>
      </c>
      <c r="H140" s="432" t="s">
        <v>1511</v>
      </c>
      <c r="I140" s="423" t="s">
        <v>923</v>
      </c>
      <c r="J140" s="423" t="s">
        <v>1065</v>
      </c>
      <c r="K140" s="424">
        <v>1</v>
      </c>
      <c r="L140" s="430">
        <v>44083</v>
      </c>
      <c r="M140" s="433"/>
    </row>
    <row r="141" spans="1:13" ht="26.25" x14ac:dyDescent="0.25">
      <c r="A141" s="409">
        <v>136</v>
      </c>
      <c r="B141" s="437" t="s">
        <v>899</v>
      </c>
      <c r="C141" s="434">
        <v>44082</v>
      </c>
      <c r="D141" s="412" t="s">
        <v>381</v>
      </c>
      <c r="E141" s="423" t="s">
        <v>1509</v>
      </c>
      <c r="F141" s="416" t="s">
        <v>1512</v>
      </c>
      <c r="G141" s="428" t="s">
        <v>1065</v>
      </c>
      <c r="H141" s="432" t="s">
        <v>1513</v>
      </c>
      <c r="I141" s="423" t="s">
        <v>923</v>
      </c>
      <c r="J141" s="423" t="s">
        <v>1065</v>
      </c>
      <c r="K141" s="424">
        <v>1</v>
      </c>
      <c r="L141" s="430">
        <v>44083</v>
      </c>
      <c r="M141" s="433"/>
    </row>
    <row r="142" spans="1:13" ht="26.25" x14ac:dyDescent="0.25">
      <c r="A142" s="409">
        <v>137</v>
      </c>
      <c r="B142" s="437" t="s">
        <v>899</v>
      </c>
      <c r="C142" s="434">
        <v>44082</v>
      </c>
      <c r="D142" s="412" t="s">
        <v>381</v>
      </c>
      <c r="E142" s="423" t="s">
        <v>1509</v>
      </c>
      <c r="F142" s="416" t="s">
        <v>1514</v>
      </c>
      <c r="G142" s="428" t="s">
        <v>1065</v>
      </c>
      <c r="H142" s="432" t="s">
        <v>1515</v>
      </c>
      <c r="I142" s="423" t="s">
        <v>923</v>
      </c>
      <c r="J142" s="423" t="s">
        <v>1065</v>
      </c>
      <c r="K142" s="424">
        <v>1</v>
      </c>
      <c r="L142" s="430">
        <v>44083</v>
      </c>
      <c r="M142" s="433"/>
    </row>
    <row r="143" spans="1:13" ht="26.25" x14ac:dyDescent="0.25">
      <c r="A143" s="409">
        <v>138</v>
      </c>
      <c r="B143" s="437" t="s">
        <v>899</v>
      </c>
      <c r="C143" s="434">
        <v>44082</v>
      </c>
      <c r="D143" s="412" t="s">
        <v>381</v>
      </c>
      <c r="E143" s="423" t="s">
        <v>1509</v>
      </c>
      <c r="F143" s="416" t="s">
        <v>1516</v>
      </c>
      <c r="G143" s="428" t="s">
        <v>1065</v>
      </c>
      <c r="H143" s="432" t="s">
        <v>1517</v>
      </c>
      <c r="I143" s="423" t="s">
        <v>923</v>
      </c>
      <c r="J143" s="423" t="s">
        <v>1065</v>
      </c>
      <c r="K143" s="424">
        <v>1</v>
      </c>
      <c r="L143" s="430">
        <v>44083</v>
      </c>
      <c r="M143" s="433"/>
    </row>
    <row r="144" spans="1:13" ht="76.5" x14ac:dyDescent="0.25">
      <c r="A144" s="409">
        <v>139</v>
      </c>
      <c r="B144" s="437" t="s">
        <v>1048</v>
      </c>
      <c r="C144" s="434">
        <v>44087</v>
      </c>
      <c r="D144" s="412" t="s">
        <v>380</v>
      </c>
      <c r="E144" s="423" t="s">
        <v>1518</v>
      </c>
      <c r="F144" s="416" t="s">
        <v>1519</v>
      </c>
      <c r="G144" s="428" t="s">
        <v>1520</v>
      </c>
      <c r="H144" s="432" t="s">
        <v>1521</v>
      </c>
      <c r="I144" s="423" t="s">
        <v>923</v>
      </c>
      <c r="J144" s="423" t="s">
        <v>1065</v>
      </c>
      <c r="K144" s="424">
        <v>1</v>
      </c>
      <c r="L144" s="430">
        <v>44118</v>
      </c>
      <c r="M144" s="433"/>
    </row>
    <row r="145" spans="1:13" ht="26.25" x14ac:dyDescent="0.25">
      <c r="A145" s="409">
        <v>140</v>
      </c>
      <c r="B145" s="437" t="s">
        <v>1048</v>
      </c>
      <c r="C145" s="434">
        <v>44088</v>
      </c>
      <c r="D145" s="412" t="s">
        <v>381</v>
      </c>
      <c r="E145" s="423" t="s">
        <v>1518</v>
      </c>
      <c r="F145" s="416" t="s">
        <v>1522</v>
      </c>
      <c r="G145" s="428" t="s">
        <v>1523</v>
      </c>
      <c r="H145" s="432" t="s">
        <v>1524</v>
      </c>
      <c r="I145" s="423" t="s">
        <v>923</v>
      </c>
      <c r="J145" s="423" t="s">
        <v>1065</v>
      </c>
      <c r="K145" s="424">
        <v>1</v>
      </c>
      <c r="L145" s="430">
        <v>44118</v>
      </c>
      <c r="M145" s="433"/>
    </row>
    <row r="146" spans="1:13" ht="39" x14ac:dyDescent="0.25">
      <c r="A146" s="409">
        <v>141</v>
      </c>
      <c r="B146" s="437" t="s">
        <v>1048</v>
      </c>
      <c r="C146" s="434">
        <v>44088</v>
      </c>
      <c r="D146" s="412" t="s">
        <v>381</v>
      </c>
      <c r="E146" s="423" t="s">
        <v>1055</v>
      </c>
      <c r="F146" s="416" t="s">
        <v>1525</v>
      </c>
      <c r="G146" s="428" t="s">
        <v>1065</v>
      </c>
      <c r="H146" s="432" t="s">
        <v>1526</v>
      </c>
      <c r="I146" s="423" t="s">
        <v>923</v>
      </c>
      <c r="J146" s="423" t="s">
        <v>1065</v>
      </c>
      <c r="K146" s="424">
        <v>1</v>
      </c>
      <c r="L146" s="430">
        <v>44118</v>
      </c>
      <c r="M146" s="433"/>
    </row>
    <row r="147" spans="1:13" ht="26.25" x14ac:dyDescent="0.25">
      <c r="A147" s="409">
        <v>142</v>
      </c>
      <c r="B147" s="437" t="s">
        <v>1048</v>
      </c>
      <c r="C147" s="434">
        <v>44088</v>
      </c>
      <c r="D147" s="412" t="s">
        <v>381</v>
      </c>
      <c r="E147" s="423" t="s">
        <v>1055</v>
      </c>
      <c r="F147" s="416" t="s">
        <v>1527</v>
      </c>
      <c r="G147" s="428" t="s">
        <v>1523</v>
      </c>
      <c r="H147" s="432" t="s">
        <v>1524</v>
      </c>
      <c r="I147" s="423" t="s">
        <v>923</v>
      </c>
      <c r="J147" s="423" t="s">
        <v>1065</v>
      </c>
      <c r="K147" s="424">
        <v>1</v>
      </c>
      <c r="L147" s="430">
        <v>44118</v>
      </c>
      <c r="M147" s="433"/>
    </row>
    <row r="148" spans="1:13" ht="26.25" x14ac:dyDescent="0.25">
      <c r="A148" s="409">
        <v>143</v>
      </c>
      <c r="B148" s="437" t="s">
        <v>1048</v>
      </c>
      <c r="C148" s="434">
        <v>44088</v>
      </c>
      <c r="D148" s="412" t="s">
        <v>381</v>
      </c>
      <c r="E148" s="423" t="s">
        <v>1055</v>
      </c>
      <c r="F148" s="416" t="s">
        <v>1528</v>
      </c>
      <c r="G148" s="428" t="s">
        <v>1065</v>
      </c>
      <c r="H148" s="432" t="s">
        <v>1529</v>
      </c>
      <c r="I148" s="423" t="s">
        <v>923</v>
      </c>
      <c r="J148" s="423" t="s">
        <v>1065</v>
      </c>
      <c r="K148" s="424">
        <v>1</v>
      </c>
      <c r="L148" s="430">
        <v>44118</v>
      </c>
      <c r="M148" s="433"/>
    </row>
    <row r="149" spans="1:13" ht="26.25" x14ac:dyDescent="0.25">
      <c r="A149" s="409">
        <v>144</v>
      </c>
      <c r="B149" s="437" t="s">
        <v>1048</v>
      </c>
      <c r="C149" s="434">
        <v>44088</v>
      </c>
      <c r="D149" s="412" t="s">
        <v>381</v>
      </c>
      <c r="E149" s="423" t="s">
        <v>1530</v>
      </c>
      <c r="F149" s="416" t="s">
        <v>1531</v>
      </c>
      <c r="G149" s="428" t="s">
        <v>1523</v>
      </c>
      <c r="H149" s="432" t="s">
        <v>1524</v>
      </c>
      <c r="I149" s="423" t="s">
        <v>923</v>
      </c>
      <c r="J149" s="423" t="s">
        <v>1065</v>
      </c>
      <c r="K149" s="424">
        <v>1</v>
      </c>
      <c r="L149" s="430">
        <v>44118</v>
      </c>
      <c r="M149" s="433"/>
    </row>
    <row r="150" spans="1:13" ht="26.25" x14ac:dyDescent="0.25">
      <c r="A150" s="409">
        <v>145</v>
      </c>
      <c r="B150" s="437" t="s">
        <v>1048</v>
      </c>
      <c r="C150" s="434">
        <v>44089</v>
      </c>
      <c r="D150" s="412" t="s">
        <v>380</v>
      </c>
      <c r="E150" s="423" t="s">
        <v>1055</v>
      </c>
      <c r="F150" s="416" t="s">
        <v>1532</v>
      </c>
      <c r="G150" s="428" t="s">
        <v>1065</v>
      </c>
      <c r="H150" s="432" t="s">
        <v>1533</v>
      </c>
      <c r="I150" s="423" t="s">
        <v>923</v>
      </c>
      <c r="J150" s="423" t="s">
        <v>1065</v>
      </c>
      <c r="K150" s="424">
        <v>1</v>
      </c>
      <c r="L150" s="430">
        <v>44118</v>
      </c>
      <c r="M150" s="433"/>
    </row>
    <row r="151" spans="1:13" ht="39" x14ac:dyDescent="0.25">
      <c r="A151" s="409">
        <v>146</v>
      </c>
      <c r="B151" s="437" t="s">
        <v>1048</v>
      </c>
      <c r="C151" s="434">
        <v>44090</v>
      </c>
      <c r="D151" s="412" t="s">
        <v>381</v>
      </c>
      <c r="E151" s="423" t="s">
        <v>1534</v>
      </c>
      <c r="F151" s="416" t="s">
        <v>1535</v>
      </c>
      <c r="G151" s="428" t="s">
        <v>1065</v>
      </c>
      <c r="H151" s="432" t="s">
        <v>1536</v>
      </c>
      <c r="I151" s="423" t="s">
        <v>923</v>
      </c>
      <c r="J151" s="423" t="s">
        <v>1065</v>
      </c>
      <c r="K151" s="424">
        <v>1</v>
      </c>
      <c r="L151" s="430">
        <v>44118</v>
      </c>
      <c r="M151" s="433"/>
    </row>
    <row r="152" spans="1:13" ht="51" x14ac:dyDescent="0.25">
      <c r="A152" s="409">
        <v>147</v>
      </c>
      <c r="B152" s="437" t="s">
        <v>1048</v>
      </c>
      <c r="C152" s="434">
        <v>44090</v>
      </c>
      <c r="D152" s="412" t="s">
        <v>382</v>
      </c>
      <c r="E152" s="423" t="s">
        <v>1534</v>
      </c>
      <c r="F152" s="416" t="s">
        <v>1537</v>
      </c>
      <c r="G152" s="428" t="s">
        <v>1065</v>
      </c>
      <c r="H152" s="416" t="s">
        <v>1538</v>
      </c>
      <c r="I152" s="423" t="s">
        <v>923</v>
      </c>
      <c r="J152" s="423" t="s">
        <v>1065</v>
      </c>
      <c r="K152" s="424">
        <v>1</v>
      </c>
      <c r="L152" s="430">
        <v>44118</v>
      </c>
      <c r="M152" s="433"/>
    </row>
    <row r="153" spans="1:13" ht="51" x14ac:dyDescent="0.25">
      <c r="A153" s="409">
        <v>148</v>
      </c>
      <c r="B153" s="437" t="s">
        <v>1048</v>
      </c>
      <c r="C153" s="434">
        <v>44090</v>
      </c>
      <c r="D153" s="412" t="s">
        <v>382</v>
      </c>
      <c r="E153" s="423" t="s">
        <v>1534</v>
      </c>
      <c r="F153" s="416" t="s">
        <v>1539</v>
      </c>
      <c r="G153" s="428" t="s">
        <v>1540</v>
      </c>
      <c r="H153" s="432" t="s">
        <v>1541</v>
      </c>
      <c r="I153" s="423" t="s">
        <v>923</v>
      </c>
      <c r="J153" s="423" t="s">
        <v>1065</v>
      </c>
      <c r="K153" s="424">
        <v>1</v>
      </c>
      <c r="L153" s="430">
        <v>44118</v>
      </c>
      <c r="M153" s="433"/>
    </row>
    <row r="154" spans="1:13" ht="51.75" x14ac:dyDescent="0.25">
      <c r="A154" s="409">
        <v>149</v>
      </c>
      <c r="B154" s="437" t="s">
        <v>1048</v>
      </c>
      <c r="C154" s="434">
        <v>44090</v>
      </c>
      <c r="D154" s="412" t="s">
        <v>381</v>
      </c>
      <c r="E154" s="423" t="s">
        <v>1534</v>
      </c>
      <c r="F154" s="416" t="s">
        <v>1542</v>
      </c>
      <c r="G154" s="428" t="s">
        <v>1540</v>
      </c>
      <c r="H154" s="432" t="s">
        <v>1543</v>
      </c>
      <c r="I154" s="423" t="s">
        <v>923</v>
      </c>
      <c r="J154" s="423" t="s">
        <v>1065</v>
      </c>
      <c r="K154" s="424">
        <v>1</v>
      </c>
      <c r="L154" s="430">
        <v>44118</v>
      </c>
      <c r="M154" s="433"/>
    </row>
    <row r="155" spans="1:13" ht="51" x14ac:dyDescent="0.25">
      <c r="A155" s="409">
        <v>150</v>
      </c>
      <c r="B155" s="437" t="s">
        <v>1048</v>
      </c>
      <c r="C155" s="434">
        <v>44090</v>
      </c>
      <c r="D155" s="412" t="s">
        <v>380</v>
      </c>
      <c r="E155" s="423" t="s">
        <v>1534</v>
      </c>
      <c r="F155" s="416" t="s">
        <v>1544</v>
      </c>
      <c r="G155" s="428" t="s">
        <v>1545</v>
      </c>
      <c r="H155" s="432" t="s">
        <v>1546</v>
      </c>
      <c r="I155" s="423" t="s">
        <v>923</v>
      </c>
      <c r="J155" s="423" t="s">
        <v>1065</v>
      </c>
      <c r="K155" s="424">
        <v>1</v>
      </c>
      <c r="L155" s="430">
        <v>44118</v>
      </c>
      <c r="M155" s="433"/>
    </row>
    <row r="156" spans="1:13" ht="76.5" x14ac:dyDescent="0.25">
      <c r="A156" s="409">
        <v>151</v>
      </c>
      <c r="B156" s="437" t="s">
        <v>1048</v>
      </c>
      <c r="C156" s="434">
        <v>44090</v>
      </c>
      <c r="D156" s="412" t="s">
        <v>380</v>
      </c>
      <c r="E156" s="423" t="s">
        <v>1534</v>
      </c>
      <c r="F156" s="416" t="s">
        <v>1547</v>
      </c>
      <c r="G156" s="428" t="s">
        <v>1545</v>
      </c>
      <c r="H156" s="432" t="s">
        <v>1548</v>
      </c>
      <c r="I156" s="423" t="s">
        <v>923</v>
      </c>
      <c r="J156" s="423" t="s">
        <v>1065</v>
      </c>
      <c r="K156" s="424">
        <v>1</v>
      </c>
      <c r="L156" s="430">
        <v>44118</v>
      </c>
      <c r="M156" s="433"/>
    </row>
    <row r="157" spans="1:13" ht="51" x14ac:dyDescent="0.25">
      <c r="A157" s="409">
        <v>152</v>
      </c>
      <c r="B157" s="437" t="s">
        <v>1048</v>
      </c>
      <c r="C157" s="434">
        <v>44090</v>
      </c>
      <c r="D157" s="412" t="s">
        <v>380</v>
      </c>
      <c r="E157" s="423" t="s">
        <v>1534</v>
      </c>
      <c r="F157" s="416" t="s">
        <v>1549</v>
      </c>
      <c r="G157" s="428" t="s">
        <v>1545</v>
      </c>
      <c r="H157" s="432" t="s">
        <v>1550</v>
      </c>
      <c r="I157" s="423" t="s">
        <v>923</v>
      </c>
      <c r="J157" s="423" t="s">
        <v>1065</v>
      </c>
      <c r="K157" s="424">
        <v>1</v>
      </c>
      <c r="L157" s="430">
        <v>44118</v>
      </c>
      <c r="M157" s="433"/>
    </row>
    <row r="158" spans="1:13" ht="77.25" x14ac:dyDescent="0.25">
      <c r="A158" s="409">
        <v>153</v>
      </c>
      <c r="B158" s="437" t="s">
        <v>1048</v>
      </c>
      <c r="C158" s="434">
        <v>44090</v>
      </c>
      <c r="D158" s="412" t="s">
        <v>381</v>
      </c>
      <c r="E158" s="423" t="s">
        <v>1534</v>
      </c>
      <c r="F158" s="416" t="s">
        <v>1551</v>
      </c>
      <c r="G158" s="428" t="s">
        <v>1065</v>
      </c>
      <c r="H158" s="432" t="s">
        <v>1552</v>
      </c>
      <c r="I158" s="423" t="s">
        <v>923</v>
      </c>
      <c r="J158" s="423" t="s">
        <v>1065</v>
      </c>
      <c r="K158" s="424">
        <v>1</v>
      </c>
      <c r="L158" s="430">
        <v>44118</v>
      </c>
      <c r="M158" s="433"/>
    </row>
    <row r="159" spans="1:13" ht="26.25" x14ac:dyDescent="0.25">
      <c r="A159" s="409">
        <v>154</v>
      </c>
      <c r="B159" s="437" t="s">
        <v>1048</v>
      </c>
      <c r="C159" s="434">
        <v>44090</v>
      </c>
      <c r="D159" s="412" t="s">
        <v>381</v>
      </c>
      <c r="E159" s="423" t="s">
        <v>1534</v>
      </c>
      <c r="F159" s="416" t="s">
        <v>1553</v>
      </c>
      <c r="G159" s="428" t="s">
        <v>1065</v>
      </c>
      <c r="H159" s="432" t="s">
        <v>1554</v>
      </c>
      <c r="I159" s="423" t="s">
        <v>923</v>
      </c>
      <c r="J159" s="423" t="s">
        <v>1065</v>
      </c>
      <c r="K159" s="424">
        <v>2</v>
      </c>
      <c r="L159" s="430">
        <v>44118</v>
      </c>
      <c r="M159" s="433"/>
    </row>
    <row r="160" spans="1:13" x14ac:dyDescent="0.25">
      <c r="A160" s="409">
        <v>155</v>
      </c>
      <c r="B160" s="437"/>
      <c r="C160" s="434"/>
      <c r="D160" s="412"/>
      <c r="E160" s="423"/>
      <c r="F160" s="416"/>
      <c r="G160" s="428"/>
      <c r="H160" s="432"/>
      <c r="I160" s="423"/>
      <c r="J160" s="423"/>
      <c r="K160" s="424"/>
      <c r="L160" s="430"/>
      <c r="M160" s="433"/>
    </row>
    <row r="161" spans="1:13" x14ac:dyDescent="0.25">
      <c r="A161" s="409">
        <v>156</v>
      </c>
      <c r="B161" s="437"/>
      <c r="C161" s="434"/>
      <c r="D161" s="412"/>
      <c r="E161" s="423"/>
      <c r="F161" s="416"/>
      <c r="G161" s="428"/>
      <c r="H161" s="432"/>
      <c r="I161" s="423"/>
      <c r="J161" s="423"/>
      <c r="K161" s="424"/>
      <c r="L161" s="430"/>
      <c r="M161" s="433"/>
    </row>
    <row r="162" spans="1:13" x14ac:dyDescent="0.25">
      <c r="A162" s="409">
        <v>157</v>
      </c>
      <c r="B162" s="437"/>
      <c r="C162" s="434"/>
      <c r="D162" s="412"/>
      <c r="E162" s="423"/>
      <c r="F162" s="416"/>
      <c r="G162" s="428"/>
      <c r="H162" s="432"/>
      <c r="I162" s="423"/>
      <c r="J162" s="423"/>
      <c r="K162" s="424"/>
      <c r="L162" s="430"/>
      <c r="M162" s="433"/>
    </row>
    <row r="163" spans="1:13" x14ac:dyDescent="0.25">
      <c r="A163" s="409">
        <v>158</v>
      </c>
      <c r="B163" s="437"/>
      <c r="C163" s="434"/>
      <c r="D163" s="412"/>
      <c r="E163" s="423"/>
      <c r="F163" s="416"/>
      <c r="G163" s="428"/>
      <c r="H163" s="432"/>
      <c r="I163" s="423"/>
      <c r="J163" s="423"/>
      <c r="K163" s="424"/>
      <c r="L163" s="430"/>
      <c r="M163" s="433"/>
    </row>
    <row r="164" spans="1:13" x14ac:dyDescent="0.25">
      <c r="A164" s="409">
        <v>159</v>
      </c>
      <c r="B164" s="437"/>
      <c r="C164" s="434"/>
      <c r="D164" s="412"/>
      <c r="E164" s="423"/>
      <c r="F164" s="416"/>
      <c r="G164" s="428"/>
      <c r="H164" s="432"/>
      <c r="I164" s="423"/>
      <c r="J164" s="423"/>
      <c r="K164" s="424"/>
      <c r="L164" s="430"/>
      <c r="M164" s="433"/>
    </row>
    <row r="165" spans="1:13" x14ac:dyDescent="0.25">
      <c r="A165" s="409">
        <v>160</v>
      </c>
      <c r="B165" s="437"/>
      <c r="C165" s="434"/>
      <c r="D165" s="412"/>
      <c r="E165" s="423"/>
      <c r="F165" s="416"/>
      <c r="G165" s="428"/>
      <c r="H165" s="432"/>
      <c r="I165" s="423"/>
      <c r="J165" s="423"/>
      <c r="K165" s="424"/>
      <c r="L165" s="430"/>
      <c r="M165" s="433"/>
    </row>
  </sheetData>
  <autoFilter ref="A5:M143" xr:uid="{00000000-0009-0000-0000-000009000000}"/>
  <conditionalFormatting sqref="D56">
    <cfRule type="containsText" dxfId="50" priority="24" operator="containsText" text="Amenaza">
      <formula>NOT(ISERROR(SEARCH("Amenaza",D56)))</formula>
    </cfRule>
    <cfRule type="containsText" dxfId="49" priority="25" stopIfTrue="1" operator="containsText" text="Debilidad">
      <formula>NOT(ISERROR(SEARCH("Debilidad",D56)))</formula>
    </cfRule>
    <cfRule type="containsText" dxfId="48" priority="26" stopIfTrue="1" operator="containsText" text="Fortaleza">
      <formula>NOT(ISERROR(SEARCH("Fortaleza",D56)))</formula>
    </cfRule>
    <cfRule type="containsText" dxfId="47" priority="27" stopIfTrue="1" operator="containsText" text="Oportunidad">
      <formula>NOT(ISERROR(SEARCH("Oportunidad",D56)))</formula>
    </cfRule>
    <cfRule type="containsText" dxfId="46" priority="28" operator="containsText" text="Fortaleza">
      <formula>NOT(ISERROR(SEARCH("Fortaleza",D56)))</formula>
    </cfRule>
  </conditionalFormatting>
  <conditionalFormatting sqref="D56">
    <cfRule type="containsText" dxfId="45" priority="22" operator="containsText" text="Fortaleza">
      <formula>NOT(ISERROR(SEARCH("Fortaleza",D56)))</formula>
    </cfRule>
    <cfRule type="containsText" dxfId="44" priority="23" operator="containsText" text="Oportunidad">
      <formula>NOT(ISERROR(SEARCH("Oportunidad",D56)))</formula>
    </cfRule>
  </conditionalFormatting>
  <conditionalFormatting sqref="D57:D138 D140:D165">
    <cfRule type="containsText" dxfId="43" priority="17" operator="containsText" text="Amenaza">
      <formula>NOT(ISERROR(SEARCH("Amenaza",D57)))</formula>
    </cfRule>
    <cfRule type="containsText" dxfId="42" priority="18" stopIfTrue="1" operator="containsText" text="Debilidad">
      <formula>NOT(ISERROR(SEARCH("Debilidad",D57)))</formula>
    </cfRule>
    <cfRule type="containsText" dxfId="41" priority="19" stopIfTrue="1" operator="containsText" text="Fortaleza">
      <formula>NOT(ISERROR(SEARCH("Fortaleza",D57)))</formula>
    </cfRule>
    <cfRule type="containsText" dxfId="40" priority="20" stopIfTrue="1" operator="containsText" text="Oportunidad">
      <formula>NOT(ISERROR(SEARCH("Oportunidad",D57)))</formula>
    </cfRule>
    <cfRule type="containsText" dxfId="39" priority="21" operator="containsText" text="Fortaleza">
      <formula>NOT(ISERROR(SEARCH("Fortaleza",D57)))</formula>
    </cfRule>
  </conditionalFormatting>
  <conditionalFormatting sqref="D57:D138 D140:D165">
    <cfRule type="containsText" dxfId="38" priority="15" operator="containsText" text="Fortaleza">
      <formula>NOT(ISERROR(SEARCH("Fortaleza",D57)))</formula>
    </cfRule>
    <cfRule type="containsText" dxfId="37" priority="16" operator="containsText" text="Oportunidad">
      <formula>NOT(ISERROR(SEARCH("Oportunidad",D57)))</formula>
    </cfRule>
  </conditionalFormatting>
  <conditionalFormatting sqref="D6:D55">
    <cfRule type="containsText" dxfId="36" priority="10" operator="containsText" text="Amenaza">
      <formula>NOT(ISERROR(SEARCH("Amenaza",D6)))</formula>
    </cfRule>
    <cfRule type="containsText" dxfId="35" priority="11" stopIfTrue="1" operator="containsText" text="Debilidad">
      <formula>NOT(ISERROR(SEARCH("Debilidad",D6)))</formula>
    </cfRule>
    <cfRule type="containsText" dxfId="34" priority="12" stopIfTrue="1" operator="containsText" text="Fortaleza">
      <formula>NOT(ISERROR(SEARCH("Fortaleza",D6)))</formula>
    </cfRule>
    <cfRule type="containsText" dxfId="33" priority="13" stopIfTrue="1" operator="containsText" text="Oportunidad">
      <formula>NOT(ISERROR(SEARCH("Oportunidad",D6)))</formula>
    </cfRule>
    <cfRule type="containsText" dxfId="32" priority="14" operator="containsText" text="Fortaleza">
      <formula>NOT(ISERROR(SEARCH("Fortaleza",D6)))</formula>
    </cfRule>
  </conditionalFormatting>
  <conditionalFormatting sqref="D6:D55">
    <cfRule type="containsText" dxfId="31" priority="8" operator="containsText" text="Fortaleza">
      <formula>NOT(ISERROR(SEARCH("Fortaleza",D6)))</formula>
    </cfRule>
    <cfRule type="containsText" dxfId="30" priority="9" operator="containsText" text="Oportunidad">
      <formula>NOT(ISERROR(SEARCH("Oportunidad",D6)))</formula>
    </cfRule>
  </conditionalFormatting>
  <conditionalFormatting sqref="D139">
    <cfRule type="containsText" dxfId="29" priority="3" operator="containsText" text="Amenaza">
      <formula>NOT(ISERROR(SEARCH("Amenaza",D139)))</formula>
    </cfRule>
    <cfRule type="containsText" dxfId="28" priority="4" stopIfTrue="1" operator="containsText" text="Debilidad">
      <formula>NOT(ISERROR(SEARCH("Debilidad",D139)))</formula>
    </cfRule>
    <cfRule type="containsText" dxfId="27" priority="5" stopIfTrue="1" operator="containsText" text="Fortaleza">
      <formula>NOT(ISERROR(SEARCH("Fortaleza",D139)))</formula>
    </cfRule>
    <cfRule type="containsText" dxfId="26" priority="6" stopIfTrue="1" operator="containsText" text="Oportunidad">
      <formula>NOT(ISERROR(SEARCH("Oportunidad",D139)))</formula>
    </cfRule>
    <cfRule type="containsText" dxfId="25" priority="7" operator="containsText" text="Fortaleza">
      <formula>NOT(ISERROR(SEARCH("Fortaleza",D139)))</formula>
    </cfRule>
  </conditionalFormatting>
  <conditionalFormatting sqref="D139">
    <cfRule type="containsText" dxfId="24" priority="1" operator="containsText" text="Fortaleza">
      <formula>NOT(ISERROR(SEARCH("Fortaleza",D139)))</formula>
    </cfRule>
    <cfRule type="containsText" dxfId="23" priority="2" operator="containsText" text="Oportunidad">
      <formula>NOT(ISERROR(SEARCH("Oportunidad",D139)))</formula>
    </cfRule>
  </conditionalFormatting>
  <dataValidations count="2">
    <dataValidation type="list" allowBlank="1" showInputMessage="1" showErrorMessage="1" sqref="D6:D70 D94:D96 D100:D101 D109:D125 D128:D138 D140:D165" xr:uid="{B1E073D4-757E-4DA0-BA36-E315FAC01283}">
      <formula1>$D$1:$D$4</formula1>
    </dataValidation>
    <dataValidation type="list" allowBlank="1" showInputMessage="1" showErrorMessage="1" sqref="D262161:D262189 IZ65553:IZ65581 SV65553:SV65581 ACR65553:ACR65581 AMN65553:AMN65581 AWJ65553:AWJ65581 BGF65553:BGF65581 BQB65553:BQB65581 BZX65553:BZX65581 CJT65553:CJT65581 CTP65553:CTP65581 DDL65553:DDL65581 DNH65553:DNH65581 DXD65553:DXD65581 EGZ65553:EGZ65581 EQV65553:EQV65581 FAR65553:FAR65581 FKN65553:FKN65581 FUJ65553:FUJ65581 GEF65553:GEF65581 GOB65553:GOB65581 GXX65553:GXX65581 HHT65553:HHT65581 HRP65553:HRP65581 IBL65553:IBL65581 ILH65553:ILH65581 IVD65553:IVD65581 JEZ65553:JEZ65581 JOV65553:JOV65581 JYR65553:JYR65581 KIN65553:KIN65581 KSJ65553:KSJ65581 LCF65553:LCF65581 LMB65553:LMB65581 LVX65553:LVX65581 MFT65553:MFT65581 MPP65553:MPP65581 MZL65553:MZL65581 NJH65553:NJH65581 NTD65553:NTD65581 OCZ65553:OCZ65581 OMV65553:OMV65581 OWR65553:OWR65581 PGN65553:PGN65581 PQJ65553:PQJ65581 QAF65553:QAF65581 QKB65553:QKB65581 QTX65553:QTX65581 RDT65553:RDT65581 RNP65553:RNP65581 RXL65553:RXL65581 SHH65553:SHH65581 SRD65553:SRD65581 TAZ65553:TAZ65581 TKV65553:TKV65581 TUR65553:TUR65581 UEN65553:UEN65581 UOJ65553:UOJ65581 UYF65553:UYF65581 VIB65553:VIB65581 VRX65553:VRX65581 WBT65553:WBT65581 WLP65553:WLP65581 WVL65553:WVL65581 D327697:D327725 IZ131089:IZ131117 SV131089:SV131117 ACR131089:ACR131117 AMN131089:AMN131117 AWJ131089:AWJ131117 BGF131089:BGF131117 BQB131089:BQB131117 BZX131089:BZX131117 CJT131089:CJT131117 CTP131089:CTP131117 DDL131089:DDL131117 DNH131089:DNH131117 DXD131089:DXD131117 EGZ131089:EGZ131117 EQV131089:EQV131117 FAR131089:FAR131117 FKN131089:FKN131117 FUJ131089:FUJ131117 GEF131089:GEF131117 GOB131089:GOB131117 GXX131089:GXX131117 HHT131089:HHT131117 HRP131089:HRP131117 IBL131089:IBL131117 ILH131089:ILH131117 IVD131089:IVD131117 JEZ131089:JEZ131117 JOV131089:JOV131117 JYR131089:JYR131117 KIN131089:KIN131117 KSJ131089:KSJ131117 LCF131089:LCF131117 LMB131089:LMB131117 LVX131089:LVX131117 MFT131089:MFT131117 MPP131089:MPP131117 MZL131089:MZL131117 NJH131089:NJH131117 NTD131089:NTD131117 OCZ131089:OCZ131117 OMV131089:OMV131117 OWR131089:OWR131117 PGN131089:PGN131117 PQJ131089:PQJ131117 QAF131089:QAF131117 QKB131089:QKB131117 QTX131089:QTX131117 RDT131089:RDT131117 RNP131089:RNP131117 RXL131089:RXL131117 SHH131089:SHH131117 SRD131089:SRD131117 TAZ131089:TAZ131117 TKV131089:TKV131117 TUR131089:TUR131117 UEN131089:UEN131117 UOJ131089:UOJ131117 UYF131089:UYF131117 VIB131089:VIB131117 VRX131089:VRX131117 WBT131089:WBT131117 WLP131089:WLP131117 WVL131089:WVL131117 D393233:D393261 IZ196625:IZ196653 SV196625:SV196653 ACR196625:ACR196653 AMN196625:AMN196653 AWJ196625:AWJ196653 BGF196625:BGF196653 BQB196625:BQB196653 BZX196625:BZX196653 CJT196625:CJT196653 CTP196625:CTP196653 DDL196625:DDL196653 DNH196625:DNH196653 DXD196625:DXD196653 EGZ196625:EGZ196653 EQV196625:EQV196653 FAR196625:FAR196653 FKN196625:FKN196653 FUJ196625:FUJ196653 GEF196625:GEF196653 GOB196625:GOB196653 GXX196625:GXX196653 HHT196625:HHT196653 HRP196625:HRP196653 IBL196625:IBL196653 ILH196625:ILH196653 IVD196625:IVD196653 JEZ196625:JEZ196653 JOV196625:JOV196653 JYR196625:JYR196653 KIN196625:KIN196653 KSJ196625:KSJ196653 LCF196625:LCF196653 LMB196625:LMB196653 LVX196625:LVX196653 MFT196625:MFT196653 MPP196625:MPP196653 MZL196625:MZL196653 NJH196625:NJH196653 NTD196625:NTD196653 OCZ196625:OCZ196653 OMV196625:OMV196653 OWR196625:OWR196653 PGN196625:PGN196653 PQJ196625:PQJ196653 QAF196625:QAF196653 QKB196625:QKB196653 QTX196625:QTX196653 RDT196625:RDT196653 RNP196625:RNP196653 RXL196625:RXL196653 SHH196625:SHH196653 SRD196625:SRD196653 TAZ196625:TAZ196653 TKV196625:TKV196653 TUR196625:TUR196653 UEN196625:UEN196653 UOJ196625:UOJ196653 UYF196625:UYF196653 VIB196625:VIB196653 VRX196625:VRX196653 WBT196625:WBT196653 WLP196625:WLP196653 WVL196625:WVL196653 D458769:D458797 IZ262161:IZ262189 SV262161:SV262189 ACR262161:ACR262189 AMN262161:AMN262189 AWJ262161:AWJ262189 BGF262161:BGF262189 BQB262161:BQB262189 BZX262161:BZX262189 CJT262161:CJT262189 CTP262161:CTP262189 DDL262161:DDL262189 DNH262161:DNH262189 DXD262161:DXD262189 EGZ262161:EGZ262189 EQV262161:EQV262189 FAR262161:FAR262189 FKN262161:FKN262189 FUJ262161:FUJ262189 GEF262161:GEF262189 GOB262161:GOB262189 GXX262161:GXX262189 HHT262161:HHT262189 HRP262161:HRP262189 IBL262161:IBL262189 ILH262161:ILH262189 IVD262161:IVD262189 JEZ262161:JEZ262189 JOV262161:JOV262189 JYR262161:JYR262189 KIN262161:KIN262189 KSJ262161:KSJ262189 LCF262161:LCF262189 LMB262161:LMB262189 LVX262161:LVX262189 MFT262161:MFT262189 MPP262161:MPP262189 MZL262161:MZL262189 NJH262161:NJH262189 NTD262161:NTD262189 OCZ262161:OCZ262189 OMV262161:OMV262189 OWR262161:OWR262189 PGN262161:PGN262189 PQJ262161:PQJ262189 QAF262161:QAF262189 QKB262161:QKB262189 QTX262161:QTX262189 RDT262161:RDT262189 RNP262161:RNP262189 RXL262161:RXL262189 SHH262161:SHH262189 SRD262161:SRD262189 TAZ262161:TAZ262189 TKV262161:TKV262189 TUR262161:TUR262189 UEN262161:UEN262189 UOJ262161:UOJ262189 UYF262161:UYF262189 VIB262161:VIB262189 VRX262161:VRX262189 WBT262161:WBT262189 WLP262161:WLP262189 WVL262161:WVL262189 D524305:D524333 IZ327697:IZ327725 SV327697:SV327725 ACR327697:ACR327725 AMN327697:AMN327725 AWJ327697:AWJ327725 BGF327697:BGF327725 BQB327697:BQB327725 BZX327697:BZX327725 CJT327697:CJT327725 CTP327697:CTP327725 DDL327697:DDL327725 DNH327697:DNH327725 DXD327697:DXD327725 EGZ327697:EGZ327725 EQV327697:EQV327725 FAR327697:FAR327725 FKN327697:FKN327725 FUJ327697:FUJ327725 GEF327697:GEF327725 GOB327697:GOB327725 GXX327697:GXX327725 HHT327697:HHT327725 HRP327697:HRP327725 IBL327697:IBL327725 ILH327697:ILH327725 IVD327697:IVD327725 JEZ327697:JEZ327725 JOV327697:JOV327725 JYR327697:JYR327725 KIN327697:KIN327725 KSJ327697:KSJ327725 LCF327697:LCF327725 LMB327697:LMB327725 LVX327697:LVX327725 MFT327697:MFT327725 MPP327697:MPP327725 MZL327697:MZL327725 NJH327697:NJH327725 NTD327697:NTD327725 OCZ327697:OCZ327725 OMV327697:OMV327725 OWR327697:OWR327725 PGN327697:PGN327725 PQJ327697:PQJ327725 QAF327697:QAF327725 QKB327697:QKB327725 QTX327697:QTX327725 RDT327697:RDT327725 RNP327697:RNP327725 RXL327697:RXL327725 SHH327697:SHH327725 SRD327697:SRD327725 TAZ327697:TAZ327725 TKV327697:TKV327725 TUR327697:TUR327725 UEN327697:UEN327725 UOJ327697:UOJ327725 UYF327697:UYF327725 VIB327697:VIB327725 VRX327697:VRX327725 WBT327697:WBT327725 WLP327697:WLP327725 WVL327697:WVL327725 D589841:D589869 IZ393233:IZ393261 SV393233:SV393261 ACR393233:ACR393261 AMN393233:AMN393261 AWJ393233:AWJ393261 BGF393233:BGF393261 BQB393233:BQB393261 BZX393233:BZX393261 CJT393233:CJT393261 CTP393233:CTP393261 DDL393233:DDL393261 DNH393233:DNH393261 DXD393233:DXD393261 EGZ393233:EGZ393261 EQV393233:EQV393261 FAR393233:FAR393261 FKN393233:FKN393261 FUJ393233:FUJ393261 GEF393233:GEF393261 GOB393233:GOB393261 GXX393233:GXX393261 HHT393233:HHT393261 HRP393233:HRP393261 IBL393233:IBL393261 ILH393233:ILH393261 IVD393233:IVD393261 JEZ393233:JEZ393261 JOV393233:JOV393261 JYR393233:JYR393261 KIN393233:KIN393261 KSJ393233:KSJ393261 LCF393233:LCF393261 LMB393233:LMB393261 LVX393233:LVX393261 MFT393233:MFT393261 MPP393233:MPP393261 MZL393233:MZL393261 NJH393233:NJH393261 NTD393233:NTD393261 OCZ393233:OCZ393261 OMV393233:OMV393261 OWR393233:OWR393261 PGN393233:PGN393261 PQJ393233:PQJ393261 QAF393233:QAF393261 QKB393233:QKB393261 QTX393233:QTX393261 RDT393233:RDT393261 RNP393233:RNP393261 RXL393233:RXL393261 SHH393233:SHH393261 SRD393233:SRD393261 TAZ393233:TAZ393261 TKV393233:TKV393261 TUR393233:TUR393261 UEN393233:UEN393261 UOJ393233:UOJ393261 UYF393233:UYF393261 VIB393233:VIB393261 VRX393233:VRX393261 WBT393233:WBT393261 WLP393233:WLP393261 WVL393233:WVL393261 D655377:D655405 IZ458769:IZ458797 SV458769:SV458797 ACR458769:ACR458797 AMN458769:AMN458797 AWJ458769:AWJ458797 BGF458769:BGF458797 BQB458769:BQB458797 BZX458769:BZX458797 CJT458769:CJT458797 CTP458769:CTP458797 DDL458769:DDL458797 DNH458769:DNH458797 DXD458769:DXD458797 EGZ458769:EGZ458797 EQV458769:EQV458797 FAR458769:FAR458797 FKN458769:FKN458797 FUJ458769:FUJ458797 GEF458769:GEF458797 GOB458769:GOB458797 GXX458769:GXX458797 HHT458769:HHT458797 HRP458769:HRP458797 IBL458769:IBL458797 ILH458769:ILH458797 IVD458769:IVD458797 JEZ458769:JEZ458797 JOV458769:JOV458797 JYR458769:JYR458797 KIN458769:KIN458797 KSJ458769:KSJ458797 LCF458769:LCF458797 LMB458769:LMB458797 LVX458769:LVX458797 MFT458769:MFT458797 MPP458769:MPP458797 MZL458769:MZL458797 NJH458769:NJH458797 NTD458769:NTD458797 OCZ458769:OCZ458797 OMV458769:OMV458797 OWR458769:OWR458797 PGN458769:PGN458797 PQJ458769:PQJ458797 QAF458769:QAF458797 QKB458769:QKB458797 QTX458769:QTX458797 RDT458769:RDT458797 RNP458769:RNP458797 RXL458769:RXL458797 SHH458769:SHH458797 SRD458769:SRD458797 TAZ458769:TAZ458797 TKV458769:TKV458797 TUR458769:TUR458797 UEN458769:UEN458797 UOJ458769:UOJ458797 UYF458769:UYF458797 VIB458769:VIB458797 VRX458769:VRX458797 WBT458769:WBT458797 WLP458769:WLP458797 WVL458769:WVL458797 D720913:D720941 IZ524305:IZ524333 SV524305:SV524333 ACR524305:ACR524333 AMN524305:AMN524333 AWJ524305:AWJ524333 BGF524305:BGF524333 BQB524305:BQB524333 BZX524305:BZX524333 CJT524305:CJT524333 CTP524305:CTP524333 DDL524305:DDL524333 DNH524305:DNH524333 DXD524305:DXD524333 EGZ524305:EGZ524333 EQV524305:EQV524333 FAR524305:FAR524333 FKN524305:FKN524333 FUJ524305:FUJ524333 GEF524305:GEF524333 GOB524305:GOB524333 GXX524305:GXX524333 HHT524305:HHT524333 HRP524305:HRP524333 IBL524305:IBL524333 ILH524305:ILH524333 IVD524305:IVD524333 JEZ524305:JEZ524333 JOV524305:JOV524333 JYR524305:JYR524333 KIN524305:KIN524333 KSJ524305:KSJ524333 LCF524305:LCF524333 LMB524305:LMB524333 LVX524305:LVX524333 MFT524305:MFT524333 MPP524305:MPP524333 MZL524305:MZL524333 NJH524305:NJH524333 NTD524305:NTD524333 OCZ524305:OCZ524333 OMV524305:OMV524333 OWR524305:OWR524333 PGN524305:PGN524333 PQJ524305:PQJ524333 QAF524305:QAF524333 QKB524305:QKB524333 QTX524305:QTX524333 RDT524305:RDT524333 RNP524305:RNP524333 RXL524305:RXL524333 SHH524305:SHH524333 SRD524305:SRD524333 TAZ524305:TAZ524333 TKV524305:TKV524333 TUR524305:TUR524333 UEN524305:UEN524333 UOJ524305:UOJ524333 UYF524305:UYF524333 VIB524305:VIB524333 VRX524305:VRX524333 WBT524305:WBT524333 WLP524305:WLP524333 WVL524305:WVL524333 D786449:D786477 IZ589841:IZ589869 SV589841:SV589869 ACR589841:ACR589869 AMN589841:AMN589869 AWJ589841:AWJ589869 BGF589841:BGF589869 BQB589841:BQB589869 BZX589841:BZX589869 CJT589841:CJT589869 CTP589841:CTP589869 DDL589841:DDL589869 DNH589841:DNH589869 DXD589841:DXD589869 EGZ589841:EGZ589869 EQV589841:EQV589869 FAR589841:FAR589869 FKN589841:FKN589869 FUJ589841:FUJ589869 GEF589841:GEF589869 GOB589841:GOB589869 GXX589841:GXX589869 HHT589841:HHT589869 HRP589841:HRP589869 IBL589841:IBL589869 ILH589841:ILH589869 IVD589841:IVD589869 JEZ589841:JEZ589869 JOV589841:JOV589869 JYR589841:JYR589869 KIN589841:KIN589869 KSJ589841:KSJ589869 LCF589841:LCF589869 LMB589841:LMB589869 LVX589841:LVX589869 MFT589841:MFT589869 MPP589841:MPP589869 MZL589841:MZL589869 NJH589841:NJH589869 NTD589841:NTD589869 OCZ589841:OCZ589869 OMV589841:OMV589869 OWR589841:OWR589869 PGN589841:PGN589869 PQJ589841:PQJ589869 QAF589841:QAF589869 QKB589841:QKB589869 QTX589841:QTX589869 RDT589841:RDT589869 RNP589841:RNP589869 RXL589841:RXL589869 SHH589841:SHH589869 SRD589841:SRD589869 TAZ589841:TAZ589869 TKV589841:TKV589869 TUR589841:TUR589869 UEN589841:UEN589869 UOJ589841:UOJ589869 UYF589841:UYF589869 VIB589841:VIB589869 VRX589841:VRX589869 WBT589841:WBT589869 WLP589841:WLP589869 WVL589841:WVL589869 D851985:D852013 IZ655377:IZ655405 SV655377:SV655405 ACR655377:ACR655405 AMN655377:AMN655405 AWJ655377:AWJ655405 BGF655377:BGF655405 BQB655377:BQB655405 BZX655377:BZX655405 CJT655377:CJT655405 CTP655377:CTP655405 DDL655377:DDL655405 DNH655377:DNH655405 DXD655377:DXD655405 EGZ655377:EGZ655405 EQV655377:EQV655405 FAR655377:FAR655405 FKN655377:FKN655405 FUJ655377:FUJ655405 GEF655377:GEF655405 GOB655377:GOB655405 GXX655377:GXX655405 HHT655377:HHT655405 HRP655377:HRP655405 IBL655377:IBL655405 ILH655377:ILH655405 IVD655377:IVD655405 JEZ655377:JEZ655405 JOV655377:JOV655405 JYR655377:JYR655405 KIN655377:KIN655405 KSJ655377:KSJ655405 LCF655377:LCF655405 LMB655377:LMB655405 LVX655377:LVX655405 MFT655377:MFT655405 MPP655377:MPP655405 MZL655377:MZL655405 NJH655377:NJH655405 NTD655377:NTD655405 OCZ655377:OCZ655405 OMV655377:OMV655405 OWR655377:OWR655405 PGN655377:PGN655405 PQJ655377:PQJ655405 QAF655377:QAF655405 QKB655377:QKB655405 QTX655377:QTX655405 RDT655377:RDT655405 RNP655377:RNP655405 RXL655377:RXL655405 SHH655377:SHH655405 SRD655377:SRD655405 TAZ655377:TAZ655405 TKV655377:TKV655405 TUR655377:TUR655405 UEN655377:UEN655405 UOJ655377:UOJ655405 UYF655377:UYF655405 VIB655377:VIB655405 VRX655377:VRX655405 WBT655377:WBT655405 WLP655377:WLP655405 WVL655377:WVL655405 D917521:D917549 IZ720913:IZ720941 SV720913:SV720941 ACR720913:ACR720941 AMN720913:AMN720941 AWJ720913:AWJ720941 BGF720913:BGF720941 BQB720913:BQB720941 BZX720913:BZX720941 CJT720913:CJT720941 CTP720913:CTP720941 DDL720913:DDL720941 DNH720913:DNH720941 DXD720913:DXD720941 EGZ720913:EGZ720941 EQV720913:EQV720941 FAR720913:FAR720941 FKN720913:FKN720941 FUJ720913:FUJ720941 GEF720913:GEF720941 GOB720913:GOB720941 GXX720913:GXX720941 HHT720913:HHT720941 HRP720913:HRP720941 IBL720913:IBL720941 ILH720913:ILH720941 IVD720913:IVD720941 JEZ720913:JEZ720941 JOV720913:JOV720941 JYR720913:JYR720941 KIN720913:KIN720941 KSJ720913:KSJ720941 LCF720913:LCF720941 LMB720913:LMB720941 LVX720913:LVX720941 MFT720913:MFT720941 MPP720913:MPP720941 MZL720913:MZL720941 NJH720913:NJH720941 NTD720913:NTD720941 OCZ720913:OCZ720941 OMV720913:OMV720941 OWR720913:OWR720941 PGN720913:PGN720941 PQJ720913:PQJ720941 QAF720913:QAF720941 QKB720913:QKB720941 QTX720913:QTX720941 RDT720913:RDT720941 RNP720913:RNP720941 RXL720913:RXL720941 SHH720913:SHH720941 SRD720913:SRD720941 TAZ720913:TAZ720941 TKV720913:TKV720941 TUR720913:TUR720941 UEN720913:UEN720941 UOJ720913:UOJ720941 UYF720913:UYF720941 VIB720913:VIB720941 VRX720913:VRX720941 WBT720913:WBT720941 WLP720913:WLP720941 WVL720913:WVL720941 D983057:D983085 IZ786449:IZ786477 SV786449:SV786477 ACR786449:ACR786477 AMN786449:AMN786477 AWJ786449:AWJ786477 BGF786449:BGF786477 BQB786449:BQB786477 BZX786449:BZX786477 CJT786449:CJT786477 CTP786449:CTP786477 DDL786449:DDL786477 DNH786449:DNH786477 DXD786449:DXD786477 EGZ786449:EGZ786477 EQV786449:EQV786477 FAR786449:FAR786477 FKN786449:FKN786477 FUJ786449:FUJ786477 GEF786449:GEF786477 GOB786449:GOB786477 GXX786449:GXX786477 HHT786449:HHT786477 HRP786449:HRP786477 IBL786449:IBL786477 ILH786449:ILH786477 IVD786449:IVD786477 JEZ786449:JEZ786477 JOV786449:JOV786477 JYR786449:JYR786477 KIN786449:KIN786477 KSJ786449:KSJ786477 LCF786449:LCF786477 LMB786449:LMB786477 LVX786449:LVX786477 MFT786449:MFT786477 MPP786449:MPP786477 MZL786449:MZL786477 NJH786449:NJH786477 NTD786449:NTD786477 OCZ786449:OCZ786477 OMV786449:OMV786477 OWR786449:OWR786477 PGN786449:PGN786477 PQJ786449:PQJ786477 QAF786449:QAF786477 QKB786449:QKB786477 QTX786449:QTX786477 RDT786449:RDT786477 RNP786449:RNP786477 RXL786449:RXL786477 SHH786449:SHH786477 SRD786449:SRD786477 TAZ786449:TAZ786477 TKV786449:TKV786477 TUR786449:TUR786477 UEN786449:UEN786477 UOJ786449:UOJ786477 UYF786449:UYF786477 VIB786449:VIB786477 VRX786449:VRX786477 WBT786449:WBT786477 WLP786449:WLP786477 WVL786449:WVL786477 D196625:D196653 IZ851985:IZ852013 SV851985:SV852013 ACR851985:ACR852013 AMN851985:AMN852013 AWJ851985:AWJ852013 BGF851985:BGF852013 BQB851985:BQB852013 BZX851985:BZX852013 CJT851985:CJT852013 CTP851985:CTP852013 DDL851985:DDL852013 DNH851985:DNH852013 DXD851985:DXD852013 EGZ851985:EGZ852013 EQV851985:EQV852013 FAR851985:FAR852013 FKN851985:FKN852013 FUJ851985:FUJ852013 GEF851985:GEF852013 GOB851985:GOB852013 GXX851985:GXX852013 HHT851985:HHT852013 HRP851985:HRP852013 IBL851985:IBL852013 ILH851985:ILH852013 IVD851985:IVD852013 JEZ851985:JEZ852013 JOV851985:JOV852013 JYR851985:JYR852013 KIN851985:KIN852013 KSJ851985:KSJ852013 LCF851985:LCF852013 LMB851985:LMB852013 LVX851985:LVX852013 MFT851985:MFT852013 MPP851985:MPP852013 MZL851985:MZL852013 NJH851985:NJH852013 NTD851985:NTD852013 OCZ851985:OCZ852013 OMV851985:OMV852013 OWR851985:OWR852013 PGN851985:PGN852013 PQJ851985:PQJ852013 QAF851985:QAF852013 QKB851985:QKB852013 QTX851985:QTX852013 RDT851985:RDT852013 RNP851985:RNP852013 RXL851985:RXL852013 SHH851985:SHH852013 SRD851985:SRD852013 TAZ851985:TAZ852013 TKV851985:TKV852013 TUR851985:TUR852013 UEN851985:UEN852013 UOJ851985:UOJ852013 UYF851985:UYF852013 VIB851985:VIB852013 VRX851985:VRX852013 WBT851985:WBT852013 WLP851985:WLP852013 WVL851985:WVL852013 D65553:D65581 IZ917521:IZ917549 SV917521:SV917549 ACR917521:ACR917549 AMN917521:AMN917549 AWJ917521:AWJ917549 BGF917521:BGF917549 BQB917521:BQB917549 BZX917521:BZX917549 CJT917521:CJT917549 CTP917521:CTP917549 DDL917521:DDL917549 DNH917521:DNH917549 DXD917521:DXD917549 EGZ917521:EGZ917549 EQV917521:EQV917549 FAR917521:FAR917549 FKN917521:FKN917549 FUJ917521:FUJ917549 GEF917521:GEF917549 GOB917521:GOB917549 GXX917521:GXX917549 HHT917521:HHT917549 HRP917521:HRP917549 IBL917521:IBL917549 ILH917521:ILH917549 IVD917521:IVD917549 JEZ917521:JEZ917549 JOV917521:JOV917549 JYR917521:JYR917549 KIN917521:KIN917549 KSJ917521:KSJ917549 LCF917521:LCF917549 LMB917521:LMB917549 LVX917521:LVX917549 MFT917521:MFT917549 MPP917521:MPP917549 MZL917521:MZL917549 NJH917521:NJH917549 NTD917521:NTD917549 OCZ917521:OCZ917549 OMV917521:OMV917549 OWR917521:OWR917549 PGN917521:PGN917549 PQJ917521:PQJ917549 QAF917521:QAF917549 QKB917521:QKB917549 QTX917521:QTX917549 RDT917521:RDT917549 RNP917521:RNP917549 RXL917521:RXL917549 SHH917521:SHH917549 SRD917521:SRD917549 TAZ917521:TAZ917549 TKV917521:TKV917549 TUR917521:TUR917549 UEN917521:UEN917549 UOJ917521:UOJ917549 UYF917521:UYF917549 VIB917521:VIB917549 VRX917521:VRX917549 WBT917521:WBT917549 WLP917521:WLP917549 WVL917521:WVL917549 D131089:D131117 IZ983057:IZ983085 SV983057:SV983085 ACR983057:ACR983085 AMN983057:AMN983085 AWJ983057:AWJ983085 BGF983057:BGF983085 BQB983057:BQB983085 BZX983057:BZX983085 CJT983057:CJT983085 CTP983057:CTP983085 DDL983057:DDL983085 DNH983057:DNH983085 DXD983057:DXD983085 EGZ983057:EGZ983085 EQV983057:EQV983085 FAR983057:FAR983085 FKN983057:FKN983085 FUJ983057:FUJ983085 GEF983057:GEF983085 GOB983057:GOB983085 GXX983057:GXX983085 HHT983057:HHT983085 HRP983057:HRP983085 IBL983057:IBL983085 ILH983057:ILH983085 IVD983057:IVD983085 JEZ983057:JEZ983085 JOV983057:JOV983085 JYR983057:JYR983085 KIN983057:KIN983085 KSJ983057:KSJ983085 LCF983057:LCF983085 LMB983057:LMB983085 LVX983057:LVX983085 MFT983057:MFT983085 MPP983057:MPP983085 MZL983057:MZL983085 NJH983057:NJH983085 NTD983057:NTD983085 OCZ983057:OCZ983085 OMV983057:OMV983085 OWR983057:OWR983085 PGN983057:PGN983085 PQJ983057:PQJ983085 QAF983057:QAF983085 QKB983057:QKB983085 QTX983057:QTX983085 RDT983057:RDT983085 RNP983057:RNP983085 RXL983057:RXL983085 SHH983057:SHH983085 SRD983057:SRD983085 TAZ983057:TAZ983085 TKV983057:TKV983085 TUR983057:TUR983085 UEN983057:UEN983085 UOJ983057:UOJ983085 UYF983057:UYF983085 VIB983057:VIB983085 VRX983057:VRX983085 WBT983057:WBT983085 WLP983057:WLP983085 WVL983057:WVL983085 WVL6:WVL56 WLP6:WLP56 WBT6:WBT56 VRX6:VRX56 VIB6:VIB56 UYF6:UYF56 UOJ6:UOJ56 UEN6:UEN56 TUR6:TUR56 TKV6:TKV56 TAZ6:TAZ56 SRD6:SRD56 SHH6:SHH56 RXL6:RXL56 RNP6:RNP56 RDT6:RDT56 QTX6:QTX56 QKB6:QKB56 QAF6:QAF56 PQJ6:PQJ56 PGN6:PGN56 OWR6:OWR56 OMV6:OMV56 OCZ6:OCZ56 NTD6:NTD56 NJH6:NJH56 MZL6:MZL56 MPP6:MPP56 MFT6:MFT56 LVX6:LVX56 LMB6:LMB56 LCF6:LCF56 KSJ6:KSJ56 KIN6:KIN56 JYR6:JYR56 JOV6:JOV56 JEZ6:JEZ56 IVD6:IVD56 ILH6:ILH56 IBL6:IBL56 HRP6:HRP56 HHT6:HHT56 GXX6:GXX56 GOB6:GOB56 GEF6:GEF56 FUJ6:FUJ56 FKN6:FKN56 FAR6:FAR56 EQV6:EQV56 EGZ6:EGZ56 DXD6:DXD56 DNH6:DNH56 DDL6:DDL56 CTP6:CTP56 CJT6:CJT56 BZX6:BZX56 BQB6:BQB56 BGF6:BGF56 AWJ6:AWJ56 AMN6:AMN56 ACR6:ACR56 SV6:SV56 IZ6:IZ56" xr:uid="{DDDD5ACB-E171-45A7-8BB1-60F7B5A2591D}">
      <formula1>$A$1:$A$4</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5F5A-8345-4EF0-BE83-B64A6483281E}">
  <sheetPr codeName="Hoja41"/>
  <dimension ref="A1:Q247"/>
  <sheetViews>
    <sheetView zoomScale="70" zoomScaleNormal="70" workbookViewId="0">
      <pane xSplit="3" ySplit="8" topLeftCell="D9" activePane="bottomRight" state="frozen"/>
      <selection pane="topRight" activeCell="D1" sqref="D1"/>
      <selection pane="bottomLeft" activeCell="A9" sqref="A9"/>
      <selection pane="bottomRight" activeCell="A9" sqref="A9"/>
    </sheetView>
  </sheetViews>
  <sheetFormatPr baseColWidth="10" defaultColWidth="9.28515625" defaultRowHeight="15" x14ac:dyDescent="0.25"/>
  <cols>
    <col min="1" max="1" width="9.28515625" style="269"/>
    <col min="2" max="2" width="22.7109375" style="269" customWidth="1"/>
    <col min="3" max="3" width="12.5703125" style="269" bestFit="1" customWidth="1"/>
    <col min="4" max="4" width="7" style="269" bestFit="1" customWidth="1"/>
    <col min="5" max="5" width="12.7109375" style="269" bestFit="1" customWidth="1"/>
    <col min="6" max="6" width="9.42578125" style="269" bestFit="1" customWidth="1"/>
    <col min="7" max="7" width="13.28515625" style="269" bestFit="1" customWidth="1"/>
    <col min="8" max="8" width="13" style="269" bestFit="1" customWidth="1"/>
    <col min="9" max="9" width="11" style="269" customWidth="1"/>
    <col min="10" max="10" width="10.28515625" style="269" customWidth="1"/>
    <col min="11" max="12" width="9.28515625" style="269"/>
    <col min="13" max="13" width="21.28515625" style="269" customWidth="1"/>
    <col min="14" max="14" width="62" style="269" bestFit="1" customWidth="1"/>
    <col min="15" max="15" width="67.7109375" style="269" customWidth="1"/>
    <col min="16" max="16384" width="9.28515625" style="269"/>
  </cols>
  <sheetData>
    <row r="1" spans="1:17" ht="15.75" customHeight="1" thickTop="1" x14ac:dyDescent="0.25">
      <c r="A1" s="492"/>
      <c r="B1" s="493"/>
      <c r="C1" s="498" t="s">
        <v>463</v>
      </c>
      <c r="D1" s="499"/>
      <c r="E1" s="499"/>
      <c r="F1" s="499"/>
      <c r="G1" s="499"/>
      <c r="H1" s="499"/>
      <c r="I1" s="499"/>
      <c r="J1" s="499"/>
      <c r="K1" s="499"/>
      <c r="L1" s="499"/>
      <c r="M1" s="266"/>
      <c r="N1" s="267">
        <v>45367.332824074074</v>
      </c>
      <c r="O1" s="268"/>
    </row>
    <row r="2" spans="1:17" ht="15" customHeight="1" x14ac:dyDescent="0.25">
      <c r="A2" s="494"/>
      <c r="B2" s="495"/>
      <c r="C2" s="500"/>
      <c r="D2" s="501"/>
      <c r="E2" s="501"/>
      <c r="F2" s="501"/>
      <c r="G2" s="501"/>
      <c r="H2" s="501"/>
      <c r="I2" s="501"/>
      <c r="J2" s="501"/>
      <c r="K2" s="501"/>
      <c r="L2" s="501"/>
      <c r="M2" s="270"/>
      <c r="N2" s="271"/>
      <c r="O2" s="268"/>
    </row>
    <row r="3" spans="1:17" ht="15" customHeight="1" x14ac:dyDescent="0.25">
      <c r="A3" s="494"/>
      <c r="B3" s="495"/>
      <c r="C3" s="500"/>
      <c r="D3" s="501"/>
      <c r="E3" s="501"/>
      <c r="F3" s="501"/>
      <c r="G3" s="501"/>
      <c r="H3" s="501"/>
      <c r="I3" s="501"/>
      <c r="J3" s="501"/>
      <c r="K3" s="501"/>
      <c r="L3" s="501"/>
      <c r="M3" s="270"/>
      <c r="N3" s="271"/>
      <c r="O3" s="268"/>
    </row>
    <row r="4" spans="1:17" x14ac:dyDescent="0.25">
      <c r="A4" s="494"/>
      <c r="B4" s="495"/>
      <c r="C4" s="272" t="s">
        <v>464</v>
      </c>
      <c r="D4" s="502" t="s">
        <v>1282</v>
      </c>
      <c r="E4" s="502"/>
      <c r="F4" s="502"/>
      <c r="G4" s="502"/>
      <c r="H4" s="502"/>
      <c r="I4" s="502"/>
      <c r="J4" s="502"/>
      <c r="K4" s="502"/>
      <c r="L4" s="502"/>
      <c r="M4" s="268"/>
      <c r="N4" s="271"/>
      <c r="O4" s="268"/>
    </row>
    <row r="5" spans="1:17" ht="16.5" thickBot="1" x14ac:dyDescent="0.3">
      <c r="A5" s="496"/>
      <c r="B5" s="497"/>
      <c r="C5" s="273" t="s">
        <v>465</v>
      </c>
      <c r="D5" s="503"/>
      <c r="E5" s="503"/>
      <c r="F5" s="503"/>
      <c r="G5" s="503"/>
      <c r="H5" s="503"/>
      <c r="I5" s="503"/>
      <c r="J5" s="503"/>
      <c r="K5" s="503"/>
      <c r="L5" s="503"/>
      <c r="M5" s="274"/>
      <c r="N5" s="275"/>
      <c r="O5" s="268"/>
    </row>
    <row r="6" spans="1:17" ht="15.75" thickTop="1" x14ac:dyDescent="0.25">
      <c r="A6" s="276"/>
      <c r="B6" s="276"/>
      <c r="C6" s="276"/>
      <c r="D6" s="276"/>
      <c r="E6" s="276"/>
      <c r="F6" s="276"/>
      <c r="G6" s="276"/>
      <c r="H6" s="276"/>
      <c r="I6" s="276"/>
      <c r="J6" s="276"/>
      <c r="K6" s="276"/>
      <c r="L6" s="276"/>
      <c r="M6" s="276"/>
      <c r="N6" s="276"/>
      <c r="O6" s="276"/>
    </row>
    <row r="7" spans="1:17" ht="18.75" x14ac:dyDescent="0.3">
      <c r="A7" s="277"/>
      <c r="B7" s="278">
        <f>COUNTA(Tabla_APL[STOCKCODE])</f>
        <v>239</v>
      </c>
      <c r="C7" s="279" t="s">
        <v>466</v>
      </c>
      <c r="D7" s="280"/>
      <c r="E7" s="281" t="s">
        <v>467</v>
      </c>
      <c r="F7" s="280"/>
      <c r="G7" s="281" t="s">
        <v>468</v>
      </c>
      <c r="H7" s="280" t="s">
        <v>469</v>
      </c>
      <c r="I7" s="268"/>
      <c r="J7" s="268"/>
      <c r="K7" s="504" t="s">
        <v>470</v>
      </c>
      <c r="L7" s="505"/>
      <c r="M7" s="282" t="s">
        <v>383</v>
      </c>
      <c r="N7" s="268"/>
      <c r="O7" s="268"/>
    </row>
    <row r="8" spans="1:17" s="288" customFormat="1" ht="27.75" customHeight="1" x14ac:dyDescent="0.25">
      <c r="A8" s="283" t="s">
        <v>383</v>
      </c>
      <c r="B8" s="284" t="s">
        <v>472</v>
      </c>
      <c r="C8" s="284" t="s">
        <v>473</v>
      </c>
      <c r="D8" s="285" t="s">
        <v>474</v>
      </c>
      <c r="E8" s="286" t="s">
        <v>475</v>
      </c>
      <c r="F8" s="285" t="s">
        <v>476</v>
      </c>
      <c r="G8" s="286" t="s">
        <v>477</v>
      </c>
      <c r="H8" s="285" t="s">
        <v>478</v>
      </c>
      <c r="I8" s="287" t="s">
        <v>479</v>
      </c>
      <c r="J8" s="287" t="s">
        <v>480</v>
      </c>
      <c r="K8" s="285" t="s">
        <v>481</v>
      </c>
      <c r="L8" s="286" t="s">
        <v>482</v>
      </c>
      <c r="M8" s="287" t="s">
        <v>483</v>
      </c>
      <c r="N8" s="287" t="s">
        <v>436</v>
      </c>
      <c r="O8" s="287" t="s">
        <v>1283</v>
      </c>
      <c r="P8" s="299" t="s">
        <v>1295</v>
      </c>
      <c r="Q8" s="299" t="s">
        <v>1296</v>
      </c>
    </row>
    <row r="9" spans="1:17" ht="18.75" x14ac:dyDescent="0.25">
      <c r="A9" s="289">
        <v>1</v>
      </c>
      <c r="B9" s="290">
        <v>580449</v>
      </c>
      <c r="C9" s="291" t="s">
        <v>1585</v>
      </c>
      <c r="D9" s="292">
        <v>62</v>
      </c>
      <c r="E9" s="292">
        <v>0</v>
      </c>
      <c r="F9" s="292">
        <v>0</v>
      </c>
      <c r="G9" s="292">
        <v>0</v>
      </c>
      <c r="H9" s="292" t="s">
        <v>484</v>
      </c>
      <c r="I9" s="292">
        <v>50</v>
      </c>
      <c r="J9" s="292">
        <v>0</v>
      </c>
      <c r="K9" s="292" t="s">
        <v>431</v>
      </c>
      <c r="L9" s="292">
        <v>7</v>
      </c>
      <c r="M9" s="288" t="s">
        <v>494</v>
      </c>
      <c r="N9" s="293" t="s">
        <v>511</v>
      </c>
      <c r="O9" s="294" t="s">
        <v>1294</v>
      </c>
      <c r="P9" s="297">
        <v>160334091</v>
      </c>
      <c r="Q9" s="297">
        <v>127201</v>
      </c>
    </row>
    <row r="10" spans="1:17" ht="18.75" x14ac:dyDescent="0.25">
      <c r="A10" s="289">
        <v>2</v>
      </c>
      <c r="B10" s="290">
        <v>96206</v>
      </c>
      <c r="C10" s="291" t="s">
        <v>1691</v>
      </c>
      <c r="D10" s="292">
        <v>82</v>
      </c>
      <c r="E10" s="292">
        <v>0</v>
      </c>
      <c r="F10" s="292">
        <v>0</v>
      </c>
      <c r="G10" s="292">
        <v>0</v>
      </c>
      <c r="H10" s="292" t="s">
        <v>484</v>
      </c>
      <c r="I10" s="292">
        <v>70</v>
      </c>
      <c r="J10" s="292">
        <v>0</v>
      </c>
      <c r="K10" s="292" t="s">
        <v>431</v>
      </c>
      <c r="L10" s="292" t="s">
        <v>486</v>
      </c>
      <c r="M10" s="288" t="s">
        <v>494</v>
      </c>
      <c r="N10" s="293" t="s">
        <v>513</v>
      </c>
      <c r="O10" s="294" t="s">
        <v>1297</v>
      </c>
      <c r="P10" s="297">
        <v>403097473</v>
      </c>
      <c r="Q10" s="297" t="s">
        <v>1666</v>
      </c>
    </row>
    <row r="11" spans="1:17" ht="18.75" x14ac:dyDescent="0.25">
      <c r="A11" s="289">
        <v>3</v>
      </c>
      <c r="B11" s="290">
        <v>439844</v>
      </c>
      <c r="C11" s="291" t="s">
        <v>1667</v>
      </c>
      <c r="D11" s="292">
        <v>24</v>
      </c>
      <c r="E11" s="292">
        <v>0</v>
      </c>
      <c r="F11" s="292">
        <v>0</v>
      </c>
      <c r="G11" s="292">
        <v>0</v>
      </c>
      <c r="H11" s="292" t="s">
        <v>484</v>
      </c>
      <c r="I11" s="292">
        <v>3</v>
      </c>
      <c r="J11" s="292">
        <v>0</v>
      </c>
      <c r="K11" s="292" t="s">
        <v>431</v>
      </c>
      <c r="L11" s="292">
        <v>7</v>
      </c>
      <c r="M11" s="288" t="s">
        <v>494</v>
      </c>
      <c r="N11" s="293" t="s">
        <v>512</v>
      </c>
      <c r="O11" s="294" t="s">
        <v>1298</v>
      </c>
      <c r="P11" s="297">
        <v>53219024</v>
      </c>
      <c r="Q11" s="298">
        <v>40794</v>
      </c>
    </row>
    <row r="12" spans="1:17" ht="18.75" x14ac:dyDescent="0.25">
      <c r="A12" s="289">
        <v>4</v>
      </c>
      <c r="B12" s="290">
        <v>727602</v>
      </c>
      <c r="C12" s="291" t="s">
        <v>514</v>
      </c>
      <c r="D12" s="292">
        <v>26</v>
      </c>
      <c r="E12" s="292">
        <v>0</v>
      </c>
      <c r="F12" s="292">
        <v>0</v>
      </c>
      <c r="G12" s="292">
        <v>0</v>
      </c>
      <c r="H12" s="292" t="s">
        <v>484</v>
      </c>
      <c r="I12" s="292">
        <v>0</v>
      </c>
      <c r="J12" s="292">
        <v>0</v>
      </c>
      <c r="K12" s="292">
        <v>5</v>
      </c>
      <c r="L12" s="292">
        <v>7</v>
      </c>
      <c r="M12" s="288" t="s">
        <v>494</v>
      </c>
      <c r="N12" s="293" t="s">
        <v>494</v>
      </c>
      <c r="O12" s="294" t="s">
        <v>1299</v>
      </c>
      <c r="P12" s="297">
        <v>151006538</v>
      </c>
      <c r="Q12" s="298">
        <v>108225</v>
      </c>
    </row>
    <row r="13" spans="1:17" ht="18.75" x14ac:dyDescent="0.25">
      <c r="A13" s="289">
        <v>5</v>
      </c>
      <c r="B13" s="290">
        <v>91330</v>
      </c>
      <c r="C13" s="291" t="s">
        <v>771</v>
      </c>
      <c r="D13" s="292">
        <v>3</v>
      </c>
      <c r="E13" s="292">
        <v>0</v>
      </c>
      <c r="F13" s="292">
        <v>0</v>
      </c>
      <c r="G13" s="292">
        <v>0</v>
      </c>
      <c r="H13" s="292" t="s">
        <v>484</v>
      </c>
      <c r="I13" s="292">
        <v>0</v>
      </c>
      <c r="J13" s="292">
        <v>0</v>
      </c>
      <c r="K13" s="292" t="s">
        <v>431</v>
      </c>
      <c r="L13" s="292">
        <v>7</v>
      </c>
      <c r="M13" s="288" t="s">
        <v>499</v>
      </c>
      <c r="N13" s="293" t="s">
        <v>508</v>
      </c>
      <c r="O13" s="294" t="s">
        <v>1300</v>
      </c>
      <c r="P13" s="297">
        <v>199521875</v>
      </c>
      <c r="Q13" s="298">
        <v>138740</v>
      </c>
    </row>
    <row r="14" spans="1:17" ht="18.75" x14ac:dyDescent="0.25">
      <c r="A14" s="289">
        <v>6</v>
      </c>
      <c r="B14" s="290">
        <v>570275</v>
      </c>
      <c r="C14" s="291" t="s">
        <v>776</v>
      </c>
      <c r="D14" s="292">
        <v>4</v>
      </c>
      <c r="E14" s="292">
        <v>0</v>
      </c>
      <c r="F14" s="292">
        <v>0</v>
      </c>
      <c r="G14" s="292">
        <v>0</v>
      </c>
      <c r="H14" s="292" t="s">
        <v>487</v>
      </c>
      <c r="I14" s="292">
        <v>3</v>
      </c>
      <c r="J14" s="292">
        <v>0</v>
      </c>
      <c r="K14" s="292" t="s">
        <v>431</v>
      </c>
      <c r="L14" s="292">
        <v>7</v>
      </c>
      <c r="M14" s="288" t="s">
        <v>494</v>
      </c>
      <c r="N14" s="293" t="s">
        <v>495</v>
      </c>
      <c r="O14" s="294" t="s">
        <v>1301</v>
      </c>
      <c r="P14" s="297" t="s">
        <v>1668</v>
      </c>
      <c r="Q14" s="297">
        <v>68278134375</v>
      </c>
    </row>
    <row r="15" spans="1:17" ht="30" x14ac:dyDescent="0.25">
      <c r="A15" s="289">
        <v>7</v>
      </c>
      <c r="B15" s="290">
        <v>743669</v>
      </c>
      <c r="C15" s="291" t="s">
        <v>518</v>
      </c>
      <c r="D15" s="292">
        <v>6</v>
      </c>
      <c r="E15" s="292">
        <v>0</v>
      </c>
      <c r="F15" s="292">
        <v>11</v>
      </c>
      <c r="G15" s="292">
        <v>0</v>
      </c>
      <c r="H15" s="292" t="s">
        <v>487</v>
      </c>
      <c r="I15" s="292">
        <v>26</v>
      </c>
      <c r="J15" s="292">
        <v>0</v>
      </c>
      <c r="K15" s="292" t="s">
        <v>431</v>
      </c>
      <c r="L15" s="292">
        <v>7</v>
      </c>
      <c r="M15" s="288" t="s">
        <v>496</v>
      </c>
      <c r="N15" s="293" t="s">
        <v>497</v>
      </c>
      <c r="O15" s="294" t="s">
        <v>1302</v>
      </c>
      <c r="P15" s="297">
        <v>187615186</v>
      </c>
      <c r="Q15" s="297">
        <v>1583459</v>
      </c>
    </row>
    <row r="16" spans="1:17" ht="30" x14ac:dyDescent="0.25">
      <c r="A16" s="289">
        <v>8</v>
      </c>
      <c r="B16" s="290">
        <v>743668</v>
      </c>
      <c r="C16" s="291" t="s">
        <v>1669</v>
      </c>
      <c r="D16" s="292">
        <v>22</v>
      </c>
      <c r="E16" s="292">
        <v>0</v>
      </c>
      <c r="F16" s="292">
        <v>0</v>
      </c>
      <c r="G16" s="292">
        <v>0</v>
      </c>
      <c r="H16" s="292" t="s">
        <v>487</v>
      </c>
      <c r="I16" s="292">
        <v>20</v>
      </c>
      <c r="J16" s="292">
        <v>0</v>
      </c>
      <c r="K16" s="292" t="s">
        <v>431</v>
      </c>
      <c r="L16" s="292">
        <v>7</v>
      </c>
      <c r="M16" s="288" t="s">
        <v>496</v>
      </c>
      <c r="N16" s="293" t="s">
        <v>498</v>
      </c>
      <c r="O16" s="294" t="s">
        <v>1303</v>
      </c>
      <c r="P16" s="297">
        <v>565812273</v>
      </c>
      <c r="Q16" s="297">
        <v>484545079091</v>
      </c>
    </row>
    <row r="17" spans="1:17" ht="18.75" x14ac:dyDescent="0.25">
      <c r="A17" s="289">
        <v>9</v>
      </c>
      <c r="B17" s="290">
        <v>748010</v>
      </c>
      <c r="C17" s="291" t="s">
        <v>782</v>
      </c>
      <c r="D17" s="292">
        <v>5</v>
      </c>
      <c r="E17" s="292">
        <v>0</v>
      </c>
      <c r="F17" s="292">
        <v>0</v>
      </c>
      <c r="G17" s="292">
        <v>0</v>
      </c>
      <c r="H17" s="292" t="s">
        <v>484</v>
      </c>
      <c r="I17" s="292">
        <v>4</v>
      </c>
      <c r="J17" s="292">
        <v>0</v>
      </c>
      <c r="K17" s="292" t="s">
        <v>431</v>
      </c>
      <c r="L17" s="292">
        <v>7</v>
      </c>
      <c r="M17" s="288" t="s">
        <v>499</v>
      </c>
      <c r="N17" s="293" t="s">
        <v>499</v>
      </c>
      <c r="O17" s="294" t="s">
        <v>1304</v>
      </c>
      <c r="P17" s="297">
        <v>13125989167</v>
      </c>
      <c r="Q17" s="297">
        <v>11612392</v>
      </c>
    </row>
    <row r="18" spans="1:17" ht="18.75" x14ac:dyDescent="0.25">
      <c r="A18" s="289">
        <v>10</v>
      </c>
      <c r="B18" s="290">
        <v>748002</v>
      </c>
      <c r="C18" s="291" t="s">
        <v>1244</v>
      </c>
      <c r="D18" s="292">
        <v>20</v>
      </c>
      <c r="E18" s="292">
        <v>0</v>
      </c>
      <c r="F18" s="292">
        <v>0</v>
      </c>
      <c r="G18" s="292">
        <v>0</v>
      </c>
      <c r="H18" s="292" t="s">
        <v>487</v>
      </c>
      <c r="I18" s="292">
        <v>20</v>
      </c>
      <c r="J18" s="292">
        <v>0</v>
      </c>
      <c r="K18" s="292" t="s">
        <v>431</v>
      </c>
      <c r="L18" s="292">
        <v>7</v>
      </c>
      <c r="M18" s="288" t="s">
        <v>496</v>
      </c>
      <c r="N18" s="293" t="s">
        <v>496</v>
      </c>
      <c r="O18" s="294" t="s">
        <v>1305</v>
      </c>
      <c r="P18" s="297">
        <v>4515459167</v>
      </c>
      <c r="Q18" s="297" t="s">
        <v>1692</v>
      </c>
    </row>
    <row r="19" spans="1:17" ht="18.75" x14ac:dyDescent="0.25">
      <c r="A19" s="289">
        <v>11</v>
      </c>
      <c r="B19" s="290">
        <v>743670</v>
      </c>
      <c r="C19" s="291" t="s">
        <v>518</v>
      </c>
      <c r="D19" s="292">
        <v>6</v>
      </c>
      <c r="E19" s="292">
        <v>0</v>
      </c>
      <c r="F19" s="292">
        <v>0</v>
      </c>
      <c r="G19" s="292">
        <v>0</v>
      </c>
      <c r="H19" s="292" t="s">
        <v>487</v>
      </c>
      <c r="I19" s="292">
        <v>5</v>
      </c>
      <c r="J19" s="292">
        <v>0</v>
      </c>
      <c r="K19" s="292" t="s">
        <v>431</v>
      </c>
      <c r="L19" s="292">
        <v>7</v>
      </c>
      <c r="M19" s="288" t="s">
        <v>499</v>
      </c>
      <c r="N19" s="293" t="s">
        <v>500</v>
      </c>
      <c r="O19" s="294" t="s">
        <v>1306</v>
      </c>
      <c r="P19" s="297">
        <v>8244896667</v>
      </c>
      <c r="Q19" s="297">
        <v>7677870691667</v>
      </c>
    </row>
    <row r="20" spans="1:17" ht="18.75" x14ac:dyDescent="0.25">
      <c r="A20" s="289">
        <v>12</v>
      </c>
      <c r="B20" s="290">
        <v>96180</v>
      </c>
      <c r="C20" s="291" t="s">
        <v>485</v>
      </c>
      <c r="D20" s="292">
        <v>0</v>
      </c>
      <c r="E20" s="292">
        <v>0</v>
      </c>
      <c r="F20" s="292">
        <v>0</v>
      </c>
      <c r="G20" s="292">
        <v>0</v>
      </c>
      <c r="H20" s="292" t="s">
        <v>484</v>
      </c>
      <c r="I20" s="292">
        <v>0</v>
      </c>
      <c r="J20" s="292">
        <v>0</v>
      </c>
      <c r="K20" s="292">
        <v>5</v>
      </c>
      <c r="L20" s="292">
        <v>7</v>
      </c>
      <c r="M20" s="288" t="s">
        <v>499</v>
      </c>
      <c r="N20" s="293" t="s">
        <v>501</v>
      </c>
      <c r="O20" s="294" t="s">
        <v>1307</v>
      </c>
      <c r="P20" s="298" t="s">
        <v>1308</v>
      </c>
      <c r="Q20" s="297">
        <v>363218666667</v>
      </c>
    </row>
    <row r="21" spans="1:17" ht="18.75" x14ac:dyDescent="0.25">
      <c r="A21" s="289">
        <v>13</v>
      </c>
      <c r="B21" s="290">
        <v>444042</v>
      </c>
      <c r="C21" s="291" t="s">
        <v>782</v>
      </c>
      <c r="D21" s="292">
        <v>5</v>
      </c>
      <c r="E21" s="292">
        <v>0</v>
      </c>
      <c r="F21" s="292">
        <v>8</v>
      </c>
      <c r="G21" s="292">
        <v>0</v>
      </c>
      <c r="H21" s="292" t="s">
        <v>484</v>
      </c>
      <c r="I21" s="292">
        <v>8</v>
      </c>
      <c r="J21" s="292">
        <v>0</v>
      </c>
      <c r="K21" s="292" t="s">
        <v>431</v>
      </c>
      <c r="L21" s="292">
        <v>7</v>
      </c>
      <c r="M21" s="288" t="s">
        <v>493</v>
      </c>
      <c r="N21" s="293" t="s">
        <v>502</v>
      </c>
      <c r="O21" s="294" t="s">
        <v>1309</v>
      </c>
      <c r="P21" s="297">
        <v>74359375</v>
      </c>
      <c r="Q21" s="298">
        <v>57055</v>
      </c>
    </row>
    <row r="22" spans="1:17" ht="30" x14ac:dyDescent="0.25">
      <c r="A22" s="289">
        <v>14</v>
      </c>
      <c r="B22" s="290">
        <v>96198</v>
      </c>
      <c r="C22" s="291" t="s">
        <v>485</v>
      </c>
      <c r="D22" s="292">
        <v>0</v>
      </c>
      <c r="E22" s="292">
        <v>0</v>
      </c>
      <c r="F22" s="292">
        <v>0</v>
      </c>
      <c r="G22" s="292">
        <v>0</v>
      </c>
      <c r="H22" s="292" t="s">
        <v>484</v>
      </c>
      <c r="I22" s="292">
        <v>0</v>
      </c>
      <c r="J22" s="292">
        <v>0</v>
      </c>
      <c r="K22" s="292">
        <v>5</v>
      </c>
      <c r="L22" s="292">
        <v>7</v>
      </c>
      <c r="M22" s="288" t="s">
        <v>499</v>
      </c>
      <c r="N22" s="293" t="s">
        <v>1310</v>
      </c>
      <c r="O22" s="294" t="s">
        <v>1311</v>
      </c>
      <c r="P22" s="297">
        <v>595142</v>
      </c>
      <c r="Q22" s="298" t="s">
        <v>1312</v>
      </c>
    </row>
    <row r="23" spans="1:17" ht="18.75" x14ac:dyDescent="0.25">
      <c r="A23" s="289">
        <v>15</v>
      </c>
      <c r="B23" s="290">
        <v>146340</v>
      </c>
      <c r="C23" s="291" t="s">
        <v>771</v>
      </c>
      <c r="D23" s="292">
        <v>3</v>
      </c>
      <c r="E23" s="292">
        <v>0</v>
      </c>
      <c r="F23" s="292">
        <v>0</v>
      </c>
      <c r="G23" s="292">
        <v>0</v>
      </c>
      <c r="H23" s="292" t="s">
        <v>484</v>
      </c>
      <c r="I23" s="292">
        <v>2</v>
      </c>
      <c r="J23" s="292">
        <v>0</v>
      </c>
      <c r="K23" s="292" t="s">
        <v>431</v>
      </c>
      <c r="L23" s="292" t="s">
        <v>486</v>
      </c>
      <c r="M23" s="288" t="s">
        <v>504</v>
      </c>
      <c r="N23" s="293" t="s">
        <v>505</v>
      </c>
      <c r="O23" s="294" t="s">
        <v>1313</v>
      </c>
      <c r="P23" s="297">
        <v>7355025</v>
      </c>
      <c r="Q23" s="298">
        <v>597625</v>
      </c>
    </row>
    <row r="24" spans="1:17" ht="18.75" x14ac:dyDescent="0.25">
      <c r="A24" s="289">
        <v>16</v>
      </c>
      <c r="B24" s="290">
        <v>151126</v>
      </c>
      <c r="C24" s="291" t="s">
        <v>1670</v>
      </c>
      <c r="D24" s="292">
        <v>12</v>
      </c>
      <c r="E24" s="292">
        <v>12</v>
      </c>
      <c r="F24" s="292">
        <v>0</v>
      </c>
      <c r="G24" s="292">
        <v>0</v>
      </c>
      <c r="H24" s="292" t="s">
        <v>487</v>
      </c>
      <c r="I24" s="292">
        <v>9</v>
      </c>
      <c r="J24" s="292">
        <v>0</v>
      </c>
      <c r="K24" s="292" t="s">
        <v>431</v>
      </c>
      <c r="L24" s="292" t="s">
        <v>486</v>
      </c>
      <c r="M24" s="288" t="s">
        <v>507</v>
      </c>
      <c r="N24" s="293" t="s">
        <v>506</v>
      </c>
      <c r="O24" s="294" t="s">
        <v>1314</v>
      </c>
      <c r="P24" s="297">
        <v>7144525</v>
      </c>
      <c r="Q24" s="297">
        <v>677930</v>
      </c>
    </row>
    <row r="25" spans="1:17" ht="18.75" x14ac:dyDescent="0.25">
      <c r="A25" s="289">
        <v>17</v>
      </c>
      <c r="B25" s="290">
        <v>475806</v>
      </c>
      <c r="C25" s="291" t="s">
        <v>485</v>
      </c>
      <c r="D25" s="292">
        <v>0</v>
      </c>
      <c r="E25" s="292">
        <v>0</v>
      </c>
      <c r="F25" s="292">
        <v>0</v>
      </c>
      <c r="G25" s="292">
        <v>0</v>
      </c>
      <c r="H25" s="292" t="s">
        <v>484</v>
      </c>
      <c r="I25" s="292">
        <v>5</v>
      </c>
      <c r="J25" s="292">
        <v>8</v>
      </c>
      <c r="K25" s="292" t="s">
        <v>431</v>
      </c>
      <c r="L25" s="292">
        <v>6</v>
      </c>
      <c r="M25" s="288" t="s">
        <v>1279</v>
      </c>
      <c r="N25" s="293" t="s">
        <v>1280</v>
      </c>
      <c r="O25" s="294" t="s">
        <v>1315</v>
      </c>
      <c r="P25" s="297">
        <v>796902</v>
      </c>
      <c r="Q25" s="297">
        <v>685977</v>
      </c>
    </row>
    <row r="26" spans="1:17" ht="18.75" x14ac:dyDescent="0.25">
      <c r="A26" s="289">
        <v>18</v>
      </c>
      <c r="B26" s="290">
        <v>146340</v>
      </c>
      <c r="C26" s="291" t="s">
        <v>771</v>
      </c>
      <c r="D26" s="292">
        <v>3</v>
      </c>
      <c r="E26" s="292">
        <v>0</v>
      </c>
      <c r="F26" s="292">
        <v>0</v>
      </c>
      <c r="G26" s="292">
        <v>0</v>
      </c>
      <c r="H26" s="292" t="s">
        <v>484</v>
      </c>
      <c r="I26" s="292">
        <v>2</v>
      </c>
      <c r="J26" s="292">
        <v>0</v>
      </c>
      <c r="K26" s="292" t="s">
        <v>431</v>
      </c>
      <c r="L26" s="292" t="s">
        <v>486</v>
      </c>
      <c r="M26" s="288" t="s">
        <v>504</v>
      </c>
      <c r="N26" s="293" t="s">
        <v>505</v>
      </c>
      <c r="O26" s="294" t="s">
        <v>1313</v>
      </c>
      <c r="P26" s="297">
        <v>7355025</v>
      </c>
      <c r="Q26" s="298">
        <v>597625</v>
      </c>
    </row>
    <row r="27" spans="1:17" ht="18.75" x14ac:dyDescent="0.25">
      <c r="A27" s="289">
        <v>19</v>
      </c>
      <c r="B27" s="290">
        <v>580449</v>
      </c>
      <c r="C27" s="291" t="s">
        <v>1585</v>
      </c>
      <c r="D27" s="292">
        <v>62</v>
      </c>
      <c r="E27" s="292">
        <v>0</v>
      </c>
      <c r="F27" s="292">
        <v>0</v>
      </c>
      <c r="G27" s="292">
        <v>0</v>
      </c>
      <c r="H27" s="292" t="s">
        <v>484</v>
      </c>
      <c r="I27" s="292">
        <v>50</v>
      </c>
      <c r="J27" s="292">
        <v>0</v>
      </c>
      <c r="K27" s="292" t="s">
        <v>431</v>
      </c>
      <c r="L27" s="292">
        <v>7</v>
      </c>
      <c r="M27" s="288" t="s">
        <v>494</v>
      </c>
      <c r="N27" s="293" t="s">
        <v>511</v>
      </c>
      <c r="O27" s="294" t="s">
        <v>1294</v>
      </c>
      <c r="P27" s="297">
        <v>160334091</v>
      </c>
      <c r="Q27" s="297">
        <v>127201</v>
      </c>
    </row>
    <row r="28" spans="1:17" ht="18.75" x14ac:dyDescent="0.25">
      <c r="A28" s="289">
        <v>20</v>
      </c>
      <c r="B28" s="290">
        <v>96206</v>
      </c>
      <c r="C28" s="291" t="s">
        <v>1691</v>
      </c>
      <c r="D28" s="292">
        <v>82</v>
      </c>
      <c r="E28" s="292">
        <v>0</v>
      </c>
      <c r="F28" s="292">
        <v>0</v>
      </c>
      <c r="G28" s="292">
        <v>0</v>
      </c>
      <c r="H28" s="292" t="s">
        <v>484</v>
      </c>
      <c r="I28" s="292">
        <v>70</v>
      </c>
      <c r="J28" s="292">
        <v>0</v>
      </c>
      <c r="K28" s="292" t="s">
        <v>431</v>
      </c>
      <c r="L28" s="292" t="s">
        <v>486</v>
      </c>
      <c r="M28" s="288" t="s">
        <v>494</v>
      </c>
      <c r="N28" s="293" t="s">
        <v>513</v>
      </c>
      <c r="O28" s="294" t="s">
        <v>1297</v>
      </c>
      <c r="P28" s="297">
        <v>403097473</v>
      </c>
      <c r="Q28" s="297" t="s">
        <v>1666</v>
      </c>
    </row>
    <row r="29" spans="1:17" ht="18.75" x14ac:dyDescent="0.25">
      <c r="A29" s="289">
        <v>21</v>
      </c>
      <c r="B29" s="290">
        <v>439844</v>
      </c>
      <c r="C29" s="291" t="s">
        <v>1667</v>
      </c>
      <c r="D29" s="292">
        <v>24</v>
      </c>
      <c r="E29" s="292">
        <v>0</v>
      </c>
      <c r="F29" s="292">
        <v>0</v>
      </c>
      <c r="G29" s="292">
        <v>0</v>
      </c>
      <c r="H29" s="292" t="s">
        <v>484</v>
      </c>
      <c r="I29" s="292">
        <v>3</v>
      </c>
      <c r="J29" s="292">
        <v>0</v>
      </c>
      <c r="K29" s="292" t="s">
        <v>431</v>
      </c>
      <c r="L29" s="292">
        <v>7</v>
      </c>
      <c r="M29" s="288" t="s">
        <v>494</v>
      </c>
      <c r="N29" s="293" t="s">
        <v>512</v>
      </c>
      <c r="O29" s="294" t="s">
        <v>1298</v>
      </c>
      <c r="P29" s="297">
        <v>53219024</v>
      </c>
      <c r="Q29" s="298">
        <v>40794</v>
      </c>
    </row>
    <row r="30" spans="1:17" ht="18.75" x14ac:dyDescent="0.25">
      <c r="A30" s="289">
        <v>22</v>
      </c>
      <c r="B30" s="290">
        <v>727602</v>
      </c>
      <c r="C30" s="291" t="s">
        <v>514</v>
      </c>
      <c r="D30" s="292">
        <v>26</v>
      </c>
      <c r="E30" s="292">
        <v>0</v>
      </c>
      <c r="F30" s="292">
        <v>0</v>
      </c>
      <c r="G30" s="292">
        <v>0</v>
      </c>
      <c r="H30" s="292" t="s">
        <v>484</v>
      </c>
      <c r="I30" s="292">
        <v>0</v>
      </c>
      <c r="J30" s="292">
        <v>0</v>
      </c>
      <c r="K30" s="292">
        <v>5</v>
      </c>
      <c r="L30" s="292">
        <v>7</v>
      </c>
      <c r="M30" s="288" t="s">
        <v>494</v>
      </c>
      <c r="N30" s="293" t="s">
        <v>494</v>
      </c>
      <c r="O30" s="294" t="s">
        <v>1299</v>
      </c>
      <c r="P30" s="297">
        <v>151006538</v>
      </c>
      <c r="Q30" s="298">
        <v>108225</v>
      </c>
    </row>
    <row r="31" spans="1:17" ht="18.75" x14ac:dyDescent="0.25">
      <c r="A31" s="289">
        <v>23</v>
      </c>
      <c r="B31" s="290">
        <v>91330</v>
      </c>
      <c r="C31" s="291" t="s">
        <v>771</v>
      </c>
      <c r="D31" s="292">
        <v>3</v>
      </c>
      <c r="E31" s="292">
        <v>0</v>
      </c>
      <c r="F31" s="292">
        <v>0</v>
      </c>
      <c r="G31" s="292">
        <v>0</v>
      </c>
      <c r="H31" s="292" t="s">
        <v>484</v>
      </c>
      <c r="I31" s="292">
        <v>0</v>
      </c>
      <c r="J31" s="292">
        <v>0</v>
      </c>
      <c r="K31" s="292" t="s">
        <v>431</v>
      </c>
      <c r="L31" s="292">
        <v>7</v>
      </c>
      <c r="M31" s="288" t="s">
        <v>499</v>
      </c>
      <c r="N31" s="293" t="s">
        <v>508</v>
      </c>
      <c r="O31" s="294" t="s">
        <v>1300</v>
      </c>
      <c r="P31" s="297">
        <v>199521875</v>
      </c>
      <c r="Q31" s="298">
        <v>138740</v>
      </c>
    </row>
    <row r="32" spans="1:17" ht="18.75" x14ac:dyDescent="0.25">
      <c r="A32" s="289">
        <v>24</v>
      </c>
      <c r="B32" s="290">
        <v>570275</v>
      </c>
      <c r="C32" s="291" t="s">
        <v>776</v>
      </c>
      <c r="D32" s="292">
        <v>4</v>
      </c>
      <c r="E32" s="292">
        <v>0</v>
      </c>
      <c r="F32" s="292">
        <v>0</v>
      </c>
      <c r="G32" s="292">
        <v>0</v>
      </c>
      <c r="H32" s="292" t="s">
        <v>487</v>
      </c>
      <c r="I32" s="292">
        <v>3</v>
      </c>
      <c r="J32" s="292">
        <v>0</v>
      </c>
      <c r="K32" s="292" t="s">
        <v>431</v>
      </c>
      <c r="L32" s="292">
        <v>7</v>
      </c>
      <c r="M32" s="288" t="s">
        <v>494</v>
      </c>
      <c r="N32" s="293" t="s">
        <v>495</v>
      </c>
      <c r="O32" s="294" t="s">
        <v>1301</v>
      </c>
      <c r="P32" s="297" t="s">
        <v>1668</v>
      </c>
      <c r="Q32" s="297">
        <v>68278134375</v>
      </c>
    </row>
    <row r="33" spans="1:17" ht="30" x14ac:dyDescent="0.25">
      <c r="A33" s="289">
        <v>25</v>
      </c>
      <c r="B33" s="290">
        <v>743669</v>
      </c>
      <c r="C33" s="291" t="s">
        <v>518</v>
      </c>
      <c r="D33" s="292">
        <v>6</v>
      </c>
      <c r="E33" s="292">
        <v>0</v>
      </c>
      <c r="F33" s="292">
        <v>11</v>
      </c>
      <c r="G33" s="292">
        <v>0</v>
      </c>
      <c r="H33" s="292" t="s">
        <v>487</v>
      </c>
      <c r="I33" s="292">
        <v>26</v>
      </c>
      <c r="J33" s="292">
        <v>0</v>
      </c>
      <c r="K33" s="292" t="s">
        <v>431</v>
      </c>
      <c r="L33" s="292">
        <v>7</v>
      </c>
      <c r="M33" s="288" t="s">
        <v>496</v>
      </c>
      <c r="N33" s="293" t="s">
        <v>497</v>
      </c>
      <c r="O33" s="294" t="s">
        <v>1302</v>
      </c>
      <c r="P33" s="297">
        <v>187615186</v>
      </c>
      <c r="Q33" s="297">
        <v>1583459</v>
      </c>
    </row>
    <row r="34" spans="1:17" ht="30" x14ac:dyDescent="0.25">
      <c r="A34" s="289">
        <v>26</v>
      </c>
      <c r="B34" s="290">
        <v>743668</v>
      </c>
      <c r="C34" s="291" t="s">
        <v>1669</v>
      </c>
      <c r="D34" s="292">
        <v>22</v>
      </c>
      <c r="E34" s="292">
        <v>0</v>
      </c>
      <c r="F34" s="292">
        <v>0</v>
      </c>
      <c r="G34" s="292">
        <v>0</v>
      </c>
      <c r="H34" s="292" t="s">
        <v>487</v>
      </c>
      <c r="I34" s="292">
        <v>20</v>
      </c>
      <c r="J34" s="292">
        <v>0</v>
      </c>
      <c r="K34" s="292" t="s">
        <v>431</v>
      </c>
      <c r="L34" s="292">
        <v>7</v>
      </c>
      <c r="M34" s="288" t="s">
        <v>496</v>
      </c>
      <c r="N34" s="293" t="s">
        <v>498</v>
      </c>
      <c r="O34" s="294" t="s">
        <v>1303</v>
      </c>
      <c r="P34" s="297">
        <v>565812273</v>
      </c>
      <c r="Q34" s="297">
        <v>484545079091</v>
      </c>
    </row>
    <row r="35" spans="1:17" ht="18.75" x14ac:dyDescent="0.25">
      <c r="A35" s="289">
        <v>27</v>
      </c>
      <c r="B35" s="290">
        <v>748010</v>
      </c>
      <c r="C35" s="291" t="s">
        <v>782</v>
      </c>
      <c r="D35" s="292">
        <v>5</v>
      </c>
      <c r="E35" s="292">
        <v>0</v>
      </c>
      <c r="F35" s="292">
        <v>0</v>
      </c>
      <c r="G35" s="292">
        <v>0</v>
      </c>
      <c r="H35" s="292" t="s">
        <v>484</v>
      </c>
      <c r="I35" s="292">
        <v>4</v>
      </c>
      <c r="J35" s="292">
        <v>0</v>
      </c>
      <c r="K35" s="292" t="s">
        <v>431</v>
      </c>
      <c r="L35" s="292">
        <v>7</v>
      </c>
      <c r="M35" s="288" t="s">
        <v>499</v>
      </c>
      <c r="N35" s="293" t="s">
        <v>499</v>
      </c>
      <c r="O35" s="294" t="s">
        <v>1304</v>
      </c>
      <c r="P35" s="297">
        <v>13125989167</v>
      </c>
      <c r="Q35" s="297">
        <v>11612392</v>
      </c>
    </row>
    <row r="36" spans="1:17" ht="18.75" x14ac:dyDescent="0.25">
      <c r="A36" s="289">
        <v>28</v>
      </c>
      <c r="B36" s="290">
        <v>748002</v>
      </c>
      <c r="C36" s="291" t="s">
        <v>1244</v>
      </c>
      <c r="D36" s="292">
        <v>20</v>
      </c>
      <c r="E36" s="292">
        <v>0</v>
      </c>
      <c r="F36" s="292">
        <v>0</v>
      </c>
      <c r="G36" s="292">
        <v>0</v>
      </c>
      <c r="H36" s="292" t="s">
        <v>487</v>
      </c>
      <c r="I36" s="292">
        <v>20</v>
      </c>
      <c r="J36" s="292">
        <v>0</v>
      </c>
      <c r="K36" s="292" t="s">
        <v>431</v>
      </c>
      <c r="L36" s="292">
        <v>7</v>
      </c>
      <c r="M36" s="288" t="s">
        <v>496</v>
      </c>
      <c r="N36" s="293" t="s">
        <v>496</v>
      </c>
      <c r="O36" s="294" t="s">
        <v>1305</v>
      </c>
      <c r="P36" s="297">
        <v>4515459167</v>
      </c>
      <c r="Q36" s="297" t="s">
        <v>1692</v>
      </c>
    </row>
    <row r="37" spans="1:17" ht="18.75" x14ac:dyDescent="0.25">
      <c r="A37" s="289">
        <v>29</v>
      </c>
      <c r="B37" s="290">
        <v>743670</v>
      </c>
      <c r="C37" s="291" t="s">
        <v>518</v>
      </c>
      <c r="D37" s="292">
        <v>6</v>
      </c>
      <c r="E37" s="292">
        <v>0</v>
      </c>
      <c r="F37" s="292">
        <v>0</v>
      </c>
      <c r="G37" s="292">
        <v>0</v>
      </c>
      <c r="H37" s="292" t="s">
        <v>487</v>
      </c>
      <c r="I37" s="292">
        <v>5</v>
      </c>
      <c r="J37" s="292">
        <v>0</v>
      </c>
      <c r="K37" s="292" t="s">
        <v>431</v>
      </c>
      <c r="L37" s="292">
        <v>7</v>
      </c>
      <c r="M37" s="288" t="s">
        <v>499</v>
      </c>
      <c r="N37" s="293" t="s">
        <v>500</v>
      </c>
      <c r="O37" s="294" t="s">
        <v>1306</v>
      </c>
      <c r="P37" s="297">
        <v>8244896667</v>
      </c>
      <c r="Q37" s="297">
        <v>7677870691667</v>
      </c>
    </row>
    <row r="38" spans="1:17" ht="18.75" x14ac:dyDescent="0.25">
      <c r="A38" s="289">
        <v>30</v>
      </c>
      <c r="B38" s="290">
        <v>96180</v>
      </c>
      <c r="C38" s="291" t="s">
        <v>485</v>
      </c>
      <c r="D38" s="292">
        <v>0</v>
      </c>
      <c r="E38" s="292">
        <v>0</v>
      </c>
      <c r="F38" s="292">
        <v>0</v>
      </c>
      <c r="G38" s="292">
        <v>0</v>
      </c>
      <c r="H38" s="292" t="s">
        <v>484</v>
      </c>
      <c r="I38" s="292">
        <v>0</v>
      </c>
      <c r="J38" s="292">
        <v>0</v>
      </c>
      <c r="K38" s="292">
        <v>5</v>
      </c>
      <c r="L38" s="292">
        <v>7</v>
      </c>
      <c r="M38" s="288" t="s">
        <v>499</v>
      </c>
      <c r="N38" s="293" t="s">
        <v>501</v>
      </c>
      <c r="O38" s="294" t="s">
        <v>1307</v>
      </c>
      <c r="P38" s="298" t="s">
        <v>1308</v>
      </c>
      <c r="Q38" s="297">
        <v>363218666667</v>
      </c>
    </row>
    <row r="39" spans="1:17" ht="18.75" x14ac:dyDescent="0.25">
      <c r="A39" s="289">
        <v>31</v>
      </c>
      <c r="B39" s="290">
        <v>444042</v>
      </c>
      <c r="C39" s="291" t="s">
        <v>782</v>
      </c>
      <c r="D39" s="292">
        <v>5</v>
      </c>
      <c r="E39" s="292">
        <v>0</v>
      </c>
      <c r="F39" s="292">
        <v>8</v>
      </c>
      <c r="G39" s="292">
        <v>0</v>
      </c>
      <c r="H39" s="292" t="s">
        <v>484</v>
      </c>
      <c r="I39" s="292">
        <v>8</v>
      </c>
      <c r="J39" s="292">
        <v>0</v>
      </c>
      <c r="K39" s="292" t="s">
        <v>431</v>
      </c>
      <c r="L39" s="292">
        <v>7</v>
      </c>
      <c r="M39" s="288" t="s">
        <v>493</v>
      </c>
      <c r="N39" s="293" t="s">
        <v>502</v>
      </c>
      <c r="O39" s="294" t="s">
        <v>1309</v>
      </c>
      <c r="P39" s="297">
        <v>74359375</v>
      </c>
      <c r="Q39" s="298">
        <v>57055</v>
      </c>
    </row>
    <row r="40" spans="1:17" ht="30" x14ac:dyDescent="0.25">
      <c r="A40" s="289">
        <v>32</v>
      </c>
      <c r="B40" s="290">
        <v>96198</v>
      </c>
      <c r="C40" s="291" t="s">
        <v>485</v>
      </c>
      <c r="D40" s="292">
        <v>0</v>
      </c>
      <c r="E40" s="292">
        <v>0</v>
      </c>
      <c r="F40" s="292">
        <v>0</v>
      </c>
      <c r="G40" s="292">
        <v>0</v>
      </c>
      <c r="H40" s="292" t="s">
        <v>484</v>
      </c>
      <c r="I40" s="292">
        <v>0</v>
      </c>
      <c r="J40" s="292">
        <v>0</v>
      </c>
      <c r="K40" s="292">
        <v>5</v>
      </c>
      <c r="L40" s="292">
        <v>7</v>
      </c>
      <c r="M40" s="288" t="s">
        <v>499</v>
      </c>
      <c r="N40" s="293" t="s">
        <v>1310</v>
      </c>
      <c r="O40" s="294" t="s">
        <v>1311</v>
      </c>
      <c r="P40" s="297">
        <v>595142</v>
      </c>
      <c r="Q40" s="298" t="s">
        <v>1312</v>
      </c>
    </row>
    <row r="41" spans="1:17" ht="18.75" x14ac:dyDescent="0.25">
      <c r="A41" s="289">
        <v>33</v>
      </c>
      <c r="B41" s="290">
        <v>146340</v>
      </c>
      <c r="C41" s="291" t="s">
        <v>771</v>
      </c>
      <c r="D41" s="292">
        <v>3</v>
      </c>
      <c r="E41" s="292">
        <v>0</v>
      </c>
      <c r="F41" s="292">
        <v>0</v>
      </c>
      <c r="G41" s="292">
        <v>0</v>
      </c>
      <c r="H41" s="292" t="s">
        <v>484</v>
      </c>
      <c r="I41" s="292">
        <v>2</v>
      </c>
      <c r="J41" s="292">
        <v>0</v>
      </c>
      <c r="K41" s="292" t="s">
        <v>431</v>
      </c>
      <c r="L41" s="292" t="s">
        <v>486</v>
      </c>
      <c r="M41" s="288" t="s">
        <v>504</v>
      </c>
      <c r="N41" s="293" t="s">
        <v>505</v>
      </c>
      <c r="O41" s="294" t="s">
        <v>1313</v>
      </c>
      <c r="P41" s="297">
        <v>7355025</v>
      </c>
      <c r="Q41" s="298">
        <v>597625</v>
      </c>
    </row>
    <row r="42" spans="1:17" ht="18.75" x14ac:dyDescent="0.25">
      <c r="A42" s="289">
        <v>34</v>
      </c>
      <c r="B42" s="290">
        <v>151126</v>
      </c>
      <c r="C42" s="291" t="s">
        <v>1670</v>
      </c>
      <c r="D42" s="292">
        <v>12</v>
      </c>
      <c r="E42" s="292">
        <v>12</v>
      </c>
      <c r="F42" s="292">
        <v>0</v>
      </c>
      <c r="G42" s="292">
        <v>0</v>
      </c>
      <c r="H42" s="292" t="s">
        <v>487</v>
      </c>
      <c r="I42" s="292">
        <v>9</v>
      </c>
      <c r="J42" s="292">
        <v>0</v>
      </c>
      <c r="K42" s="292" t="s">
        <v>431</v>
      </c>
      <c r="L42" s="292" t="s">
        <v>486</v>
      </c>
      <c r="M42" s="288" t="s">
        <v>507</v>
      </c>
      <c r="N42" s="293" t="s">
        <v>506</v>
      </c>
      <c r="O42" s="294" t="s">
        <v>1314</v>
      </c>
      <c r="P42" s="297">
        <v>7144525</v>
      </c>
      <c r="Q42" s="297">
        <v>677930</v>
      </c>
    </row>
    <row r="43" spans="1:17" ht="18.75" x14ac:dyDescent="0.25">
      <c r="A43" s="289">
        <v>35</v>
      </c>
      <c r="B43" s="290">
        <v>751697</v>
      </c>
      <c r="C43" s="291" t="s">
        <v>1586</v>
      </c>
      <c r="D43" s="292">
        <v>223</v>
      </c>
      <c r="E43" s="292">
        <v>0</v>
      </c>
      <c r="F43" s="292">
        <v>0</v>
      </c>
      <c r="G43" s="292">
        <v>0</v>
      </c>
      <c r="H43" s="292" t="s">
        <v>484</v>
      </c>
      <c r="I43" s="292">
        <v>87</v>
      </c>
      <c r="J43" s="292">
        <v>0</v>
      </c>
      <c r="K43" s="292" t="s">
        <v>431</v>
      </c>
      <c r="L43" s="292">
        <v>7</v>
      </c>
      <c r="M43" s="288" t="s">
        <v>496</v>
      </c>
      <c r="N43" s="293" t="s">
        <v>515</v>
      </c>
      <c r="O43" s="294" t="s">
        <v>1316</v>
      </c>
      <c r="P43" s="297">
        <v>168885078</v>
      </c>
      <c r="Q43" s="297">
        <v>1345350625</v>
      </c>
    </row>
    <row r="44" spans="1:17" ht="18.75" x14ac:dyDescent="0.25">
      <c r="A44" s="289">
        <v>36</v>
      </c>
      <c r="B44" s="290">
        <v>746231</v>
      </c>
      <c r="C44" s="291" t="s">
        <v>776</v>
      </c>
      <c r="D44" s="292">
        <v>4</v>
      </c>
      <c r="E44" s="292">
        <v>0</v>
      </c>
      <c r="F44" s="292">
        <v>2</v>
      </c>
      <c r="G44" s="292">
        <v>2</v>
      </c>
      <c r="H44" s="292" t="s">
        <v>484</v>
      </c>
      <c r="I44" s="292">
        <v>3</v>
      </c>
      <c r="J44" s="292">
        <v>0</v>
      </c>
      <c r="K44" s="292" t="s">
        <v>431</v>
      </c>
      <c r="L44" s="292">
        <v>7</v>
      </c>
      <c r="M44" s="288" t="s">
        <v>769</v>
      </c>
      <c r="N44" s="293" t="s">
        <v>770</v>
      </c>
      <c r="O44" s="294" t="s">
        <v>1317</v>
      </c>
      <c r="P44" s="297" t="s">
        <v>1671</v>
      </c>
      <c r="Q44" s="297">
        <v>1285073736</v>
      </c>
    </row>
    <row r="45" spans="1:17" ht="18.75" x14ac:dyDescent="0.25">
      <c r="A45" s="289">
        <v>37</v>
      </c>
      <c r="B45" s="295">
        <v>746218</v>
      </c>
      <c r="C45" s="291" t="s">
        <v>519</v>
      </c>
      <c r="D45" s="292">
        <v>4</v>
      </c>
      <c r="E45" s="292">
        <v>2</v>
      </c>
      <c r="F45" s="292">
        <v>0</v>
      </c>
      <c r="G45" s="292">
        <v>1</v>
      </c>
      <c r="H45" s="292" t="s">
        <v>484</v>
      </c>
      <c r="I45" s="292">
        <v>2</v>
      </c>
      <c r="J45" s="292">
        <v>0</v>
      </c>
      <c r="K45" s="292" t="s">
        <v>431</v>
      </c>
      <c r="L45" s="292">
        <v>7</v>
      </c>
      <c r="M45" s="288" t="s">
        <v>769</v>
      </c>
      <c r="N45" s="293" t="s">
        <v>773</v>
      </c>
      <c r="O45" s="294" t="s">
        <v>1318</v>
      </c>
      <c r="P45" s="297">
        <v>8523975</v>
      </c>
      <c r="Q45" s="297">
        <v>7711718375</v>
      </c>
    </row>
    <row r="46" spans="1:17" ht="18.75" x14ac:dyDescent="0.25">
      <c r="A46" s="289">
        <v>38</v>
      </c>
      <c r="B46" s="290">
        <v>746232</v>
      </c>
      <c r="C46" s="291" t="s">
        <v>774</v>
      </c>
      <c r="D46" s="292">
        <v>8</v>
      </c>
      <c r="E46" s="292">
        <v>1</v>
      </c>
      <c r="F46" s="292">
        <v>0</v>
      </c>
      <c r="G46" s="292">
        <v>4</v>
      </c>
      <c r="H46" s="292" t="s">
        <v>484</v>
      </c>
      <c r="I46" s="292">
        <v>4</v>
      </c>
      <c r="J46" s="292">
        <v>1</v>
      </c>
      <c r="K46" s="292" t="s">
        <v>431</v>
      </c>
      <c r="L46" s="292">
        <v>7</v>
      </c>
      <c r="M46" s="288" t="s">
        <v>769</v>
      </c>
      <c r="N46" s="293" t="s">
        <v>770</v>
      </c>
      <c r="O46" s="294" t="s">
        <v>1317</v>
      </c>
      <c r="P46" s="297">
        <v>329290125</v>
      </c>
      <c r="Q46" s="297">
        <v>2916392235</v>
      </c>
    </row>
    <row r="47" spans="1:17" ht="18.75" x14ac:dyDescent="0.25">
      <c r="A47" s="289">
        <v>39</v>
      </c>
      <c r="B47" s="290">
        <v>123216</v>
      </c>
      <c r="C47" s="291" t="s">
        <v>503</v>
      </c>
      <c r="D47" s="292">
        <v>16</v>
      </c>
      <c r="E47" s="292">
        <v>0</v>
      </c>
      <c r="F47" s="292">
        <v>0</v>
      </c>
      <c r="G47" s="292">
        <v>4</v>
      </c>
      <c r="H47" s="292" t="s">
        <v>484</v>
      </c>
      <c r="I47" s="292">
        <v>10</v>
      </c>
      <c r="J47" s="292">
        <v>0</v>
      </c>
      <c r="K47" s="292" t="s">
        <v>431</v>
      </c>
      <c r="L47" s="292">
        <v>7</v>
      </c>
      <c r="M47" s="288" t="s">
        <v>775</v>
      </c>
      <c r="N47" s="293" t="s">
        <v>525</v>
      </c>
      <c r="O47" s="294" t="s">
        <v>1319</v>
      </c>
      <c r="P47" s="297">
        <v>696088889</v>
      </c>
      <c r="Q47" s="297" t="s">
        <v>1672</v>
      </c>
    </row>
    <row r="48" spans="1:17" ht="18.75" x14ac:dyDescent="0.25">
      <c r="A48" s="289">
        <v>40</v>
      </c>
      <c r="B48" s="290">
        <v>88948</v>
      </c>
      <c r="C48" s="291" t="s">
        <v>1693</v>
      </c>
      <c r="D48" s="292">
        <v>47</v>
      </c>
      <c r="E48" s="292">
        <v>8</v>
      </c>
      <c r="F48" s="292">
        <v>0</v>
      </c>
      <c r="G48" s="292">
        <v>4</v>
      </c>
      <c r="H48" s="292" t="s">
        <v>484</v>
      </c>
      <c r="I48" s="292">
        <v>38</v>
      </c>
      <c r="J48" s="292">
        <v>0</v>
      </c>
      <c r="K48" s="292" t="s">
        <v>431</v>
      </c>
      <c r="L48" s="292">
        <v>7</v>
      </c>
      <c r="M48" s="288" t="s">
        <v>775</v>
      </c>
      <c r="N48" s="293" t="s">
        <v>526</v>
      </c>
      <c r="O48" s="294" t="s">
        <v>1320</v>
      </c>
      <c r="P48" s="297">
        <v>1458638936</v>
      </c>
      <c r="Q48" s="297">
        <v>1290030254043</v>
      </c>
    </row>
    <row r="49" spans="1:17" ht="18.75" x14ac:dyDescent="0.25">
      <c r="A49" s="289">
        <v>41</v>
      </c>
      <c r="B49" s="290">
        <v>123224</v>
      </c>
      <c r="C49" s="291" t="s">
        <v>1675</v>
      </c>
      <c r="D49" s="292">
        <v>28</v>
      </c>
      <c r="E49" s="292">
        <v>0</v>
      </c>
      <c r="F49" s="292">
        <v>8</v>
      </c>
      <c r="G49" s="292">
        <v>24</v>
      </c>
      <c r="H49" s="292" t="s">
        <v>484</v>
      </c>
      <c r="I49" s="292">
        <v>15</v>
      </c>
      <c r="J49" s="292">
        <v>0</v>
      </c>
      <c r="K49" s="292" t="s">
        <v>431</v>
      </c>
      <c r="L49" s="292">
        <v>7</v>
      </c>
      <c r="M49" s="288" t="s">
        <v>778</v>
      </c>
      <c r="N49" s="293" t="s">
        <v>527</v>
      </c>
      <c r="O49" s="294" t="s">
        <v>1321</v>
      </c>
      <c r="P49" s="297">
        <v>846730625</v>
      </c>
      <c r="Q49" s="297">
        <v>744548263125</v>
      </c>
    </row>
    <row r="50" spans="1:17" ht="18.75" x14ac:dyDescent="0.25">
      <c r="A50" s="289">
        <v>42</v>
      </c>
      <c r="B50" s="290">
        <v>114330</v>
      </c>
      <c r="C50" s="291" t="s">
        <v>1244</v>
      </c>
      <c r="D50" s="292">
        <v>20</v>
      </c>
      <c r="E50" s="292">
        <v>0</v>
      </c>
      <c r="F50" s="292">
        <v>0</v>
      </c>
      <c r="G50" s="292">
        <v>6</v>
      </c>
      <c r="H50" s="292" t="s">
        <v>484</v>
      </c>
      <c r="I50" s="292">
        <v>15</v>
      </c>
      <c r="J50" s="292">
        <v>6</v>
      </c>
      <c r="K50" s="292" t="s">
        <v>431</v>
      </c>
      <c r="L50" s="292">
        <v>7</v>
      </c>
      <c r="M50" s="288" t="s">
        <v>775</v>
      </c>
      <c r="N50" s="293" t="s">
        <v>1620</v>
      </c>
      <c r="O50" s="294" t="s">
        <v>1621</v>
      </c>
      <c r="P50" s="297">
        <v>1618501786</v>
      </c>
      <c r="Q50" s="297">
        <v>1371093654286</v>
      </c>
    </row>
    <row r="51" spans="1:17" ht="18.75" x14ac:dyDescent="0.25">
      <c r="A51" s="289">
        <v>43</v>
      </c>
      <c r="B51" s="290">
        <v>746233</v>
      </c>
      <c r="C51" s="291" t="s">
        <v>518</v>
      </c>
      <c r="D51" s="292">
        <v>10</v>
      </c>
      <c r="E51" s="292">
        <v>4</v>
      </c>
      <c r="F51" s="292">
        <v>2</v>
      </c>
      <c r="G51" s="292">
        <v>4</v>
      </c>
      <c r="H51" s="292" t="s">
        <v>484</v>
      </c>
      <c r="I51" s="292">
        <v>6</v>
      </c>
      <c r="J51" s="292">
        <v>0</v>
      </c>
      <c r="K51" s="292" t="s">
        <v>431</v>
      </c>
      <c r="L51" s="292">
        <v>7</v>
      </c>
      <c r="M51" s="288" t="s">
        <v>769</v>
      </c>
      <c r="N51" s="293" t="s">
        <v>779</v>
      </c>
      <c r="O51" s="294" t="s">
        <v>1322</v>
      </c>
      <c r="P51" s="297">
        <v>750251</v>
      </c>
      <c r="Q51" s="297">
        <v>691341271</v>
      </c>
    </row>
    <row r="52" spans="1:17" ht="18.75" x14ac:dyDescent="0.25">
      <c r="A52" s="289">
        <v>44</v>
      </c>
      <c r="B52" s="290">
        <v>448068</v>
      </c>
      <c r="C52" s="291" t="s">
        <v>1346</v>
      </c>
      <c r="D52" s="292">
        <v>11</v>
      </c>
      <c r="E52" s="292">
        <v>2</v>
      </c>
      <c r="F52" s="292">
        <v>0</v>
      </c>
      <c r="G52" s="292">
        <v>6</v>
      </c>
      <c r="H52" s="292" t="s">
        <v>484</v>
      </c>
      <c r="I52" s="292">
        <v>4</v>
      </c>
      <c r="J52" s="292">
        <v>0</v>
      </c>
      <c r="K52" s="292" t="s">
        <v>431</v>
      </c>
      <c r="L52" s="292">
        <v>7</v>
      </c>
      <c r="M52" s="288" t="s">
        <v>775</v>
      </c>
      <c r="N52" s="293" t="s">
        <v>780</v>
      </c>
      <c r="O52" s="294" t="s">
        <v>1323</v>
      </c>
      <c r="P52" s="297">
        <v>1379477273</v>
      </c>
      <c r="Q52" s="297">
        <v>1221666836364</v>
      </c>
    </row>
    <row r="53" spans="1:17" ht="18.75" x14ac:dyDescent="0.25">
      <c r="A53" s="289">
        <v>45</v>
      </c>
      <c r="B53" s="290">
        <v>746234</v>
      </c>
      <c r="C53" s="291" t="s">
        <v>782</v>
      </c>
      <c r="D53" s="292">
        <v>5</v>
      </c>
      <c r="E53" s="292">
        <v>0</v>
      </c>
      <c r="F53" s="292">
        <v>0</v>
      </c>
      <c r="G53" s="292">
        <v>1</v>
      </c>
      <c r="H53" s="292" t="s">
        <v>484</v>
      </c>
      <c r="I53" s="292">
        <v>3</v>
      </c>
      <c r="J53" s="292">
        <v>0</v>
      </c>
      <c r="K53" s="292" t="s">
        <v>431</v>
      </c>
      <c r="L53" s="292">
        <v>7</v>
      </c>
      <c r="M53" s="288" t="s">
        <v>769</v>
      </c>
      <c r="N53" s="293" t="s">
        <v>781</v>
      </c>
      <c r="O53" s="294" t="s">
        <v>1324</v>
      </c>
      <c r="P53" s="297">
        <v>1304526667</v>
      </c>
      <c r="Q53" s="297">
        <v>1144480136667</v>
      </c>
    </row>
    <row r="54" spans="1:17" ht="18.75" x14ac:dyDescent="0.25">
      <c r="A54" s="289">
        <v>46</v>
      </c>
      <c r="B54" s="290">
        <v>155762</v>
      </c>
      <c r="C54" s="291" t="s">
        <v>1346</v>
      </c>
      <c r="D54" s="292">
        <v>21</v>
      </c>
      <c r="E54" s="292">
        <v>12</v>
      </c>
      <c r="F54" s="292">
        <v>0</v>
      </c>
      <c r="G54" s="292">
        <v>4</v>
      </c>
      <c r="H54" s="292" t="s">
        <v>484</v>
      </c>
      <c r="I54" s="292">
        <v>9</v>
      </c>
      <c r="J54" s="292">
        <v>0</v>
      </c>
      <c r="K54" s="292" t="s">
        <v>431</v>
      </c>
      <c r="L54" s="292">
        <v>7</v>
      </c>
      <c r="M54" s="288" t="s">
        <v>775</v>
      </c>
      <c r="N54" s="293" t="s">
        <v>783</v>
      </c>
      <c r="O54" s="294" t="s">
        <v>1325</v>
      </c>
      <c r="P54" s="297">
        <v>82939524</v>
      </c>
      <c r="Q54" s="297">
        <v>75997265714</v>
      </c>
    </row>
    <row r="55" spans="1:17" ht="18.75" x14ac:dyDescent="0.25">
      <c r="A55" s="289">
        <v>47</v>
      </c>
      <c r="B55" s="290">
        <v>746235</v>
      </c>
      <c r="C55" s="291" t="s">
        <v>776</v>
      </c>
      <c r="D55" s="292">
        <v>4</v>
      </c>
      <c r="E55" s="292">
        <v>0</v>
      </c>
      <c r="F55" s="292">
        <v>0</v>
      </c>
      <c r="G55" s="292">
        <v>1</v>
      </c>
      <c r="H55" s="292" t="s">
        <v>484</v>
      </c>
      <c r="I55" s="292">
        <v>3</v>
      </c>
      <c r="J55" s="292">
        <v>1</v>
      </c>
      <c r="K55" s="292" t="s">
        <v>431</v>
      </c>
      <c r="L55" s="292">
        <v>7</v>
      </c>
      <c r="M55" s="288" t="s">
        <v>769</v>
      </c>
      <c r="N55" s="293" t="s">
        <v>784</v>
      </c>
      <c r="O55" s="294" t="s">
        <v>1326</v>
      </c>
      <c r="P55" s="297">
        <v>1569986</v>
      </c>
      <c r="Q55" s="297">
        <v>1375807276</v>
      </c>
    </row>
    <row r="56" spans="1:17" ht="18.75" x14ac:dyDescent="0.25">
      <c r="A56" s="289">
        <v>48</v>
      </c>
      <c r="B56" s="290">
        <v>746221</v>
      </c>
      <c r="C56" s="291" t="s">
        <v>811</v>
      </c>
      <c r="D56" s="292">
        <v>10</v>
      </c>
      <c r="E56" s="292">
        <v>0</v>
      </c>
      <c r="F56" s="292">
        <v>2</v>
      </c>
      <c r="G56" s="292">
        <v>6</v>
      </c>
      <c r="H56" s="292" t="s">
        <v>484</v>
      </c>
      <c r="I56" s="292">
        <v>6</v>
      </c>
      <c r="J56" s="292">
        <v>2</v>
      </c>
      <c r="K56" s="292" t="s">
        <v>431</v>
      </c>
      <c r="L56" s="292">
        <v>7</v>
      </c>
      <c r="M56" s="288" t="s">
        <v>769</v>
      </c>
      <c r="N56" s="293" t="s">
        <v>785</v>
      </c>
      <c r="O56" s="294" t="s">
        <v>1327</v>
      </c>
      <c r="P56" s="297">
        <v>1314376667</v>
      </c>
      <c r="Q56" s="297">
        <v>1142763768333</v>
      </c>
    </row>
    <row r="57" spans="1:17" ht="18.75" x14ac:dyDescent="0.25">
      <c r="A57" s="289">
        <v>49</v>
      </c>
      <c r="B57" s="290">
        <v>746222</v>
      </c>
      <c r="C57" s="291" t="s">
        <v>518</v>
      </c>
      <c r="D57" s="292">
        <v>6</v>
      </c>
      <c r="E57" s="292">
        <v>0</v>
      </c>
      <c r="F57" s="292">
        <v>2</v>
      </c>
      <c r="G57" s="292">
        <v>2</v>
      </c>
      <c r="H57" s="292" t="s">
        <v>484</v>
      </c>
      <c r="I57" s="292">
        <v>4</v>
      </c>
      <c r="J57" s="292">
        <v>0</v>
      </c>
      <c r="K57" s="292" t="s">
        <v>431</v>
      </c>
      <c r="L57" s="292">
        <v>7</v>
      </c>
      <c r="M57" s="288" t="s">
        <v>769</v>
      </c>
      <c r="N57" s="293" t="s">
        <v>786</v>
      </c>
      <c r="O57" s="294" t="s">
        <v>1328</v>
      </c>
      <c r="P57" s="297">
        <v>1095847143</v>
      </c>
      <c r="Q57" s="297">
        <v>948904164286</v>
      </c>
    </row>
    <row r="58" spans="1:17" ht="18.75" x14ac:dyDescent="0.25">
      <c r="A58" s="289">
        <v>50</v>
      </c>
      <c r="B58" s="290">
        <v>746225</v>
      </c>
      <c r="C58" s="291" t="s">
        <v>509</v>
      </c>
      <c r="D58" s="292">
        <v>10</v>
      </c>
      <c r="E58" s="292">
        <v>2</v>
      </c>
      <c r="F58" s="292">
        <v>2</v>
      </c>
      <c r="G58" s="292">
        <v>4</v>
      </c>
      <c r="H58" s="292" t="s">
        <v>484</v>
      </c>
      <c r="I58" s="292">
        <v>6</v>
      </c>
      <c r="J58" s="292">
        <v>0</v>
      </c>
      <c r="K58" s="292" t="s">
        <v>431</v>
      </c>
      <c r="L58" s="292">
        <v>7</v>
      </c>
      <c r="M58" s="288" t="s">
        <v>769</v>
      </c>
      <c r="N58" s="293" t="s">
        <v>787</v>
      </c>
      <c r="O58" s="294" t="s">
        <v>1329</v>
      </c>
      <c r="P58" s="297">
        <v>966914</v>
      </c>
      <c r="Q58" s="297">
        <v>880721968</v>
      </c>
    </row>
    <row r="59" spans="1:17" ht="18.75" x14ac:dyDescent="0.25">
      <c r="A59" s="289">
        <v>51</v>
      </c>
      <c r="B59" s="290">
        <v>155903</v>
      </c>
      <c r="C59" s="291" t="s">
        <v>509</v>
      </c>
      <c r="D59" s="292">
        <v>8</v>
      </c>
      <c r="E59" s="292">
        <v>0</v>
      </c>
      <c r="F59" s="292">
        <v>4</v>
      </c>
      <c r="G59" s="292">
        <v>4</v>
      </c>
      <c r="H59" s="292" t="s">
        <v>484</v>
      </c>
      <c r="I59" s="292">
        <v>7</v>
      </c>
      <c r="J59" s="292">
        <v>0</v>
      </c>
      <c r="K59" s="292" t="s">
        <v>431</v>
      </c>
      <c r="L59" s="292">
        <v>7</v>
      </c>
      <c r="M59" s="288" t="s">
        <v>775</v>
      </c>
      <c r="N59" s="293" t="s">
        <v>1563</v>
      </c>
      <c r="O59" s="294" t="s">
        <v>1564</v>
      </c>
      <c r="P59" s="297">
        <v>204150455</v>
      </c>
      <c r="Q59" s="297">
        <v>183558242727</v>
      </c>
    </row>
    <row r="60" spans="1:17" ht="18.75" x14ac:dyDescent="0.25">
      <c r="A60" s="289">
        <v>52</v>
      </c>
      <c r="B60" s="296">
        <v>6965</v>
      </c>
      <c r="C60" s="291" t="s">
        <v>1690</v>
      </c>
      <c r="D60" s="292">
        <v>78</v>
      </c>
      <c r="E60" s="292">
        <v>0</v>
      </c>
      <c r="F60" s="292">
        <v>0</v>
      </c>
      <c r="G60" s="292">
        <v>104</v>
      </c>
      <c r="H60" s="292" t="s">
        <v>484</v>
      </c>
      <c r="I60" s="292">
        <v>18</v>
      </c>
      <c r="J60" s="292">
        <v>0</v>
      </c>
      <c r="K60" s="292" t="s">
        <v>431</v>
      </c>
      <c r="L60" s="292">
        <v>7</v>
      </c>
      <c r="M60" s="288" t="s">
        <v>788</v>
      </c>
      <c r="N60" s="293" t="s">
        <v>1694</v>
      </c>
      <c r="O60" s="294" t="s">
        <v>1695</v>
      </c>
      <c r="P60" s="297">
        <v>12292135</v>
      </c>
      <c r="Q60" s="297">
        <v>10500</v>
      </c>
    </row>
    <row r="61" spans="1:17" ht="18.75" x14ac:dyDescent="0.25">
      <c r="A61" s="289">
        <v>53</v>
      </c>
      <c r="B61" s="290">
        <v>155937</v>
      </c>
      <c r="C61" s="291" t="s">
        <v>1346</v>
      </c>
      <c r="D61" s="292">
        <v>10</v>
      </c>
      <c r="E61" s="292">
        <v>1</v>
      </c>
      <c r="F61" s="292">
        <v>2</v>
      </c>
      <c r="G61" s="292">
        <v>6</v>
      </c>
      <c r="H61" s="292" t="s">
        <v>484</v>
      </c>
      <c r="I61" s="292">
        <v>4</v>
      </c>
      <c r="J61" s="292">
        <v>0</v>
      </c>
      <c r="K61" s="292" t="s">
        <v>431</v>
      </c>
      <c r="L61" s="292">
        <v>7</v>
      </c>
      <c r="M61" s="288" t="s">
        <v>769</v>
      </c>
      <c r="N61" s="293" t="s">
        <v>789</v>
      </c>
      <c r="O61" s="294" t="s">
        <v>1330</v>
      </c>
      <c r="P61" s="297">
        <v>369901</v>
      </c>
      <c r="Q61" s="297">
        <v>336758053</v>
      </c>
    </row>
    <row r="62" spans="1:17" ht="18.75" x14ac:dyDescent="0.25">
      <c r="A62" s="289">
        <v>54</v>
      </c>
      <c r="B62" s="290">
        <v>746224</v>
      </c>
      <c r="C62" s="291" t="s">
        <v>776</v>
      </c>
      <c r="D62" s="292">
        <v>4</v>
      </c>
      <c r="E62" s="292">
        <v>0</v>
      </c>
      <c r="F62" s="292">
        <v>0</v>
      </c>
      <c r="G62" s="292">
        <v>1</v>
      </c>
      <c r="H62" s="292" t="s">
        <v>484</v>
      </c>
      <c r="I62" s="292">
        <v>3</v>
      </c>
      <c r="J62" s="292">
        <v>1</v>
      </c>
      <c r="K62" s="292" t="s">
        <v>431</v>
      </c>
      <c r="L62" s="292">
        <v>7</v>
      </c>
      <c r="M62" s="288" t="s">
        <v>769</v>
      </c>
      <c r="N62" s="293" t="s">
        <v>773</v>
      </c>
      <c r="O62" s="294" t="s">
        <v>1318</v>
      </c>
      <c r="P62" s="297">
        <v>3615888</v>
      </c>
      <c r="Q62" s="297">
        <v>3156898658</v>
      </c>
    </row>
    <row r="63" spans="1:17" ht="18.75" x14ac:dyDescent="0.25">
      <c r="A63" s="289">
        <v>55</v>
      </c>
      <c r="B63" s="290">
        <v>155853</v>
      </c>
      <c r="C63" s="291" t="s">
        <v>509</v>
      </c>
      <c r="D63" s="292">
        <v>8</v>
      </c>
      <c r="E63" s="292">
        <v>0</v>
      </c>
      <c r="F63" s="292">
        <v>0</v>
      </c>
      <c r="G63" s="292">
        <v>3</v>
      </c>
      <c r="H63" s="292" t="s">
        <v>484</v>
      </c>
      <c r="I63" s="292">
        <v>2</v>
      </c>
      <c r="J63" s="292">
        <v>0</v>
      </c>
      <c r="K63" s="292" t="s">
        <v>431</v>
      </c>
      <c r="L63" s="292">
        <v>7</v>
      </c>
      <c r="M63" s="288" t="s">
        <v>790</v>
      </c>
      <c r="N63" s="293" t="s">
        <v>791</v>
      </c>
      <c r="O63" s="294" t="s">
        <v>1331</v>
      </c>
      <c r="P63" s="297">
        <v>23300909</v>
      </c>
      <c r="Q63" s="297">
        <v>19528780909</v>
      </c>
    </row>
    <row r="64" spans="1:17" ht="18.75" x14ac:dyDescent="0.25">
      <c r="A64" s="289">
        <v>56</v>
      </c>
      <c r="B64" s="290">
        <v>155861</v>
      </c>
      <c r="C64" s="291" t="s">
        <v>777</v>
      </c>
      <c r="D64" s="292">
        <v>24</v>
      </c>
      <c r="E64" s="292">
        <v>10</v>
      </c>
      <c r="F64" s="292">
        <v>0</v>
      </c>
      <c r="G64" s="292">
        <v>10</v>
      </c>
      <c r="H64" s="292" t="s">
        <v>484</v>
      </c>
      <c r="I64" s="292">
        <v>9</v>
      </c>
      <c r="J64" s="292">
        <v>0</v>
      </c>
      <c r="K64" s="292" t="s">
        <v>431</v>
      </c>
      <c r="L64" s="292">
        <v>7</v>
      </c>
      <c r="M64" s="288" t="s">
        <v>790</v>
      </c>
      <c r="N64" s="293" t="s">
        <v>792</v>
      </c>
      <c r="O64" s="294" t="s">
        <v>1332</v>
      </c>
      <c r="P64" s="297">
        <v>49332917</v>
      </c>
      <c r="Q64" s="297">
        <v>43810333333</v>
      </c>
    </row>
    <row r="65" spans="1:17" ht="18.75" x14ac:dyDescent="0.25">
      <c r="A65" s="289">
        <v>57</v>
      </c>
      <c r="B65" s="290">
        <v>158147</v>
      </c>
      <c r="C65" s="291" t="s">
        <v>1696</v>
      </c>
      <c r="D65" s="292">
        <v>114</v>
      </c>
      <c r="E65" s="292">
        <v>0</v>
      </c>
      <c r="F65" s="292">
        <v>0</v>
      </c>
      <c r="G65" s="292">
        <v>51</v>
      </c>
      <c r="H65" s="292" t="s">
        <v>484</v>
      </c>
      <c r="I65" s="292">
        <v>60</v>
      </c>
      <c r="J65" s="292">
        <v>0</v>
      </c>
      <c r="K65" s="292" t="s">
        <v>431</v>
      </c>
      <c r="L65" s="292" t="s">
        <v>486</v>
      </c>
      <c r="M65" s="288" t="s">
        <v>793</v>
      </c>
      <c r="N65" s="293" t="s">
        <v>794</v>
      </c>
      <c r="O65" s="294" t="s">
        <v>1333</v>
      </c>
      <c r="P65" s="297">
        <v>2170773</v>
      </c>
      <c r="Q65" s="297">
        <v>19279923617</v>
      </c>
    </row>
    <row r="66" spans="1:17" ht="18.75" x14ac:dyDescent="0.25">
      <c r="A66" s="289">
        <v>58</v>
      </c>
      <c r="B66" s="290">
        <v>158154</v>
      </c>
      <c r="C66" s="291" t="s">
        <v>1673</v>
      </c>
      <c r="D66" s="292">
        <v>34</v>
      </c>
      <c r="E66" s="292">
        <v>0</v>
      </c>
      <c r="F66" s="292">
        <v>0</v>
      </c>
      <c r="G66" s="292">
        <v>12</v>
      </c>
      <c r="H66" s="292" t="s">
        <v>484</v>
      </c>
      <c r="I66" s="292">
        <v>20</v>
      </c>
      <c r="J66" s="292">
        <v>0</v>
      </c>
      <c r="K66" s="292" t="s">
        <v>431</v>
      </c>
      <c r="L66" s="292">
        <v>7</v>
      </c>
      <c r="M66" s="288" t="s">
        <v>793</v>
      </c>
      <c r="N66" s="293" t="s">
        <v>793</v>
      </c>
      <c r="O66" s="294" t="s">
        <v>1334</v>
      </c>
      <c r="P66" s="297">
        <v>74966552</v>
      </c>
      <c r="Q66" s="297" t="s">
        <v>1587</v>
      </c>
    </row>
    <row r="67" spans="1:17" ht="18.75" x14ac:dyDescent="0.25">
      <c r="A67" s="289">
        <v>59</v>
      </c>
      <c r="B67" s="290">
        <v>88831</v>
      </c>
      <c r="C67" s="291" t="s">
        <v>1346</v>
      </c>
      <c r="D67" s="292">
        <v>9</v>
      </c>
      <c r="E67" s="292">
        <v>0</v>
      </c>
      <c r="F67" s="292">
        <v>4</v>
      </c>
      <c r="G67" s="292">
        <v>3</v>
      </c>
      <c r="H67" s="292" t="s">
        <v>484</v>
      </c>
      <c r="I67" s="292">
        <v>6</v>
      </c>
      <c r="J67" s="292">
        <v>0</v>
      </c>
      <c r="K67" s="292" t="s">
        <v>431</v>
      </c>
      <c r="L67" s="292" t="s">
        <v>486</v>
      </c>
      <c r="M67" s="288" t="s">
        <v>795</v>
      </c>
      <c r="N67" s="293" t="s">
        <v>795</v>
      </c>
      <c r="O67" s="294" t="s">
        <v>1335</v>
      </c>
      <c r="P67" s="297">
        <v>704635</v>
      </c>
      <c r="Q67" s="297">
        <v>629869965714</v>
      </c>
    </row>
    <row r="68" spans="1:17" ht="18.75" x14ac:dyDescent="0.25">
      <c r="A68" s="289">
        <v>60</v>
      </c>
      <c r="B68" s="290">
        <v>746223</v>
      </c>
      <c r="C68" s="291" t="s">
        <v>519</v>
      </c>
      <c r="D68" s="292">
        <v>2</v>
      </c>
      <c r="E68" s="292">
        <v>0</v>
      </c>
      <c r="F68" s="292">
        <v>4</v>
      </c>
      <c r="G68" s="292">
        <v>2</v>
      </c>
      <c r="H68" s="292" t="s">
        <v>484</v>
      </c>
      <c r="I68" s="292">
        <v>3</v>
      </c>
      <c r="J68" s="292">
        <v>0</v>
      </c>
      <c r="K68" s="292" t="s">
        <v>431</v>
      </c>
      <c r="L68" s="292">
        <v>7</v>
      </c>
      <c r="M68" s="288" t="s">
        <v>796</v>
      </c>
      <c r="N68" s="293" t="s">
        <v>797</v>
      </c>
      <c r="O68" s="294" t="s">
        <v>1336</v>
      </c>
      <c r="P68" s="297">
        <v>1068466667</v>
      </c>
      <c r="Q68" s="297" t="s">
        <v>1674</v>
      </c>
    </row>
    <row r="69" spans="1:17" ht="18.75" x14ac:dyDescent="0.25">
      <c r="A69" s="289">
        <v>61</v>
      </c>
      <c r="B69" s="290">
        <v>746219</v>
      </c>
      <c r="C69" s="291" t="s">
        <v>776</v>
      </c>
      <c r="D69" s="292">
        <v>4</v>
      </c>
      <c r="E69" s="292">
        <v>0</v>
      </c>
      <c r="F69" s="292">
        <v>2</v>
      </c>
      <c r="G69" s="292">
        <v>2</v>
      </c>
      <c r="H69" s="292" t="s">
        <v>484</v>
      </c>
      <c r="I69" s="292">
        <v>3</v>
      </c>
      <c r="J69" s="292">
        <v>0</v>
      </c>
      <c r="K69" s="292" t="s">
        <v>431</v>
      </c>
      <c r="L69" s="292">
        <v>7</v>
      </c>
      <c r="M69" s="288" t="s">
        <v>798</v>
      </c>
      <c r="N69" s="293" t="s">
        <v>799</v>
      </c>
      <c r="O69" s="294" t="s">
        <v>1337</v>
      </c>
      <c r="P69" s="297">
        <v>3053872</v>
      </c>
      <c r="Q69" s="297">
        <v>2698337766</v>
      </c>
    </row>
    <row r="70" spans="1:17" ht="18.75" x14ac:dyDescent="0.25">
      <c r="A70" s="289">
        <v>62</v>
      </c>
      <c r="B70" s="290">
        <v>559385</v>
      </c>
      <c r="C70" s="291" t="s">
        <v>771</v>
      </c>
      <c r="D70" s="292">
        <v>3</v>
      </c>
      <c r="E70" s="292">
        <v>0</v>
      </c>
      <c r="F70" s="292">
        <v>8</v>
      </c>
      <c r="G70" s="292">
        <v>6</v>
      </c>
      <c r="H70" s="292" t="s">
        <v>484</v>
      </c>
      <c r="I70" s="292">
        <v>5</v>
      </c>
      <c r="J70" s="292">
        <v>0</v>
      </c>
      <c r="K70" s="292" t="s">
        <v>431</v>
      </c>
      <c r="L70" s="292">
        <v>7</v>
      </c>
      <c r="M70" s="288" t="s">
        <v>800</v>
      </c>
      <c r="N70" s="293" t="s">
        <v>801</v>
      </c>
      <c r="O70" s="294" t="s">
        <v>1338</v>
      </c>
      <c r="P70" s="297">
        <v>694657</v>
      </c>
      <c r="Q70" s="298">
        <v>575327</v>
      </c>
    </row>
    <row r="71" spans="1:17" ht="18.75" x14ac:dyDescent="0.25">
      <c r="A71" s="289">
        <v>63</v>
      </c>
      <c r="B71" s="290">
        <v>746220</v>
      </c>
      <c r="C71" s="291" t="s">
        <v>776</v>
      </c>
      <c r="D71" s="292">
        <v>4</v>
      </c>
      <c r="E71" s="292">
        <v>0</v>
      </c>
      <c r="F71" s="292">
        <v>2</v>
      </c>
      <c r="G71" s="292">
        <v>4</v>
      </c>
      <c r="H71" s="292" t="s">
        <v>484</v>
      </c>
      <c r="I71" s="292">
        <v>2</v>
      </c>
      <c r="J71" s="292">
        <v>1</v>
      </c>
      <c r="K71" s="292" t="s">
        <v>431</v>
      </c>
      <c r="L71" s="292">
        <v>7</v>
      </c>
      <c r="M71" s="288" t="s">
        <v>769</v>
      </c>
      <c r="N71" s="293" t="s">
        <v>802</v>
      </c>
      <c r="O71" s="294" t="s">
        <v>1339</v>
      </c>
      <c r="P71" s="297">
        <v>1181438</v>
      </c>
      <c r="Q71" s="297">
        <v>1069175748</v>
      </c>
    </row>
    <row r="72" spans="1:17" ht="18.75" x14ac:dyDescent="0.25">
      <c r="A72" s="289">
        <v>64</v>
      </c>
      <c r="B72" s="290">
        <v>325316</v>
      </c>
      <c r="C72" s="291" t="s">
        <v>772</v>
      </c>
      <c r="D72" s="292">
        <v>1</v>
      </c>
      <c r="E72" s="292">
        <v>0</v>
      </c>
      <c r="F72" s="292">
        <v>9</v>
      </c>
      <c r="G72" s="292">
        <v>4</v>
      </c>
      <c r="H72" s="292" t="s">
        <v>484</v>
      </c>
      <c r="I72" s="292">
        <v>3</v>
      </c>
      <c r="J72" s="292">
        <v>0</v>
      </c>
      <c r="K72" s="292" t="s">
        <v>431</v>
      </c>
      <c r="L72" s="292">
        <v>7</v>
      </c>
      <c r="M72" s="288" t="s">
        <v>803</v>
      </c>
      <c r="N72" s="293" t="s">
        <v>804</v>
      </c>
      <c r="O72" s="294" t="s">
        <v>1340</v>
      </c>
      <c r="P72" s="297">
        <v>90550833</v>
      </c>
      <c r="Q72" s="297" t="s">
        <v>1622</v>
      </c>
    </row>
    <row r="73" spans="1:17" ht="18.75" x14ac:dyDescent="0.25">
      <c r="A73" s="289">
        <v>65</v>
      </c>
      <c r="B73" s="290">
        <v>177899</v>
      </c>
      <c r="C73" s="291" t="s">
        <v>1697</v>
      </c>
      <c r="D73" s="292">
        <v>2563</v>
      </c>
      <c r="E73" s="292">
        <v>0</v>
      </c>
      <c r="F73" s="292">
        <v>0</v>
      </c>
      <c r="G73" s="292">
        <v>1020</v>
      </c>
      <c r="H73" s="292" t="s">
        <v>484</v>
      </c>
      <c r="I73" s="292">
        <v>212</v>
      </c>
      <c r="J73" s="292">
        <v>0</v>
      </c>
      <c r="K73" s="292" t="s">
        <v>431</v>
      </c>
      <c r="L73" s="292" t="s">
        <v>486</v>
      </c>
      <c r="M73" s="288" t="s">
        <v>805</v>
      </c>
      <c r="N73" s="293" t="s">
        <v>806</v>
      </c>
      <c r="O73" s="294" t="s">
        <v>1341</v>
      </c>
      <c r="P73" s="297">
        <v>1516853</v>
      </c>
      <c r="Q73" s="297">
        <v>1373347158</v>
      </c>
    </row>
    <row r="74" spans="1:17" ht="18.75" x14ac:dyDescent="0.25">
      <c r="A74" s="289">
        <v>66</v>
      </c>
      <c r="B74" s="290">
        <v>271460</v>
      </c>
      <c r="C74" s="291" t="s">
        <v>519</v>
      </c>
      <c r="D74" s="292">
        <v>2</v>
      </c>
      <c r="E74" s="292">
        <v>0</v>
      </c>
      <c r="F74" s="292">
        <v>3</v>
      </c>
      <c r="G74" s="292">
        <v>0</v>
      </c>
      <c r="H74" s="292" t="s">
        <v>484</v>
      </c>
      <c r="I74" s="292">
        <v>4</v>
      </c>
      <c r="J74" s="292">
        <v>0</v>
      </c>
      <c r="K74" s="292" t="s">
        <v>431</v>
      </c>
      <c r="L74" s="292">
        <v>7</v>
      </c>
      <c r="M74" s="288" t="s">
        <v>807</v>
      </c>
      <c r="N74" s="293" t="s">
        <v>808</v>
      </c>
      <c r="O74" s="294" t="s">
        <v>1342</v>
      </c>
      <c r="P74" s="297">
        <v>1387193333</v>
      </c>
      <c r="Q74" s="297">
        <v>1288860883333</v>
      </c>
    </row>
    <row r="75" spans="1:17" ht="18.75" x14ac:dyDescent="0.25">
      <c r="A75" s="289">
        <v>67</v>
      </c>
      <c r="B75" s="290">
        <v>648717</v>
      </c>
      <c r="C75" s="291" t="s">
        <v>1698</v>
      </c>
      <c r="D75" s="292">
        <v>9</v>
      </c>
      <c r="E75" s="292">
        <v>0</v>
      </c>
      <c r="F75" s="292">
        <v>0</v>
      </c>
      <c r="G75" s="292">
        <v>2</v>
      </c>
      <c r="H75" s="292" t="s">
        <v>484</v>
      </c>
      <c r="I75" s="292">
        <v>4</v>
      </c>
      <c r="J75" s="292">
        <v>0</v>
      </c>
      <c r="K75" s="292" t="s">
        <v>431</v>
      </c>
      <c r="L75" s="292">
        <v>7</v>
      </c>
      <c r="M75" s="288" t="s">
        <v>807</v>
      </c>
      <c r="N75" s="293" t="s">
        <v>809</v>
      </c>
      <c r="O75" s="294" t="s">
        <v>1343</v>
      </c>
      <c r="P75" s="297" t="s">
        <v>1699</v>
      </c>
      <c r="Q75" s="297">
        <v>1372133107273</v>
      </c>
    </row>
    <row r="76" spans="1:17" ht="18.75" x14ac:dyDescent="0.25">
      <c r="A76" s="289">
        <v>68</v>
      </c>
      <c r="B76" s="290">
        <v>287151</v>
      </c>
      <c r="C76" s="291" t="s">
        <v>1244</v>
      </c>
      <c r="D76" s="292">
        <v>20</v>
      </c>
      <c r="E76" s="292">
        <v>0</v>
      </c>
      <c r="F76" s="292">
        <v>4</v>
      </c>
      <c r="G76" s="292">
        <v>12</v>
      </c>
      <c r="H76" s="292" t="s">
        <v>484</v>
      </c>
      <c r="I76" s="292">
        <v>10</v>
      </c>
      <c r="J76" s="292">
        <v>0</v>
      </c>
      <c r="K76" s="292" t="s">
        <v>431</v>
      </c>
      <c r="L76" s="292">
        <v>7</v>
      </c>
      <c r="M76" s="288" t="s">
        <v>810</v>
      </c>
      <c r="N76" s="293" t="s">
        <v>550</v>
      </c>
      <c r="O76" s="294" t="s">
        <v>1344</v>
      </c>
      <c r="P76" s="297">
        <v>1877104545</v>
      </c>
      <c r="Q76" s="297">
        <v>1726459576818</v>
      </c>
    </row>
    <row r="77" spans="1:17" ht="18.75" x14ac:dyDescent="0.25">
      <c r="A77" s="289">
        <v>69</v>
      </c>
      <c r="B77" s="290">
        <v>274605</v>
      </c>
      <c r="C77" s="291" t="s">
        <v>774</v>
      </c>
      <c r="D77" s="292">
        <v>7</v>
      </c>
      <c r="E77" s="292">
        <v>0</v>
      </c>
      <c r="F77" s="292">
        <v>30</v>
      </c>
      <c r="G77" s="292">
        <v>28</v>
      </c>
      <c r="H77" s="292" t="s">
        <v>484</v>
      </c>
      <c r="I77" s="292">
        <v>6</v>
      </c>
      <c r="J77" s="292">
        <v>0</v>
      </c>
      <c r="K77" s="292" t="s">
        <v>431</v>
      </c>
      <c r="L77" s="292">
        <v>7</v>
      </c>
      <c r="M77" s="288" t="s">
        <v>812</v>
      </c>
      <c r="N77" s="293" t="s">
        <v>552</v>
      </c>
      <c r="O77" s="294" t="s">
        <v>1345</v>
      </c>
      <c r="P77" s="297">
        <v>77388619</v>
      </c>
      <c r="Q77" s="297">
        <v>692946323333</v>
      </c>
    </row>
    <row r="78" spans="1:17" ht="18.75" x14ac:dyDescent="0.25">
      <c r="A78" s="289">
        <v>70</v>
      </c>
      <c r="B78" s="290">
        <v>287169</v>
      </c>
      <c r="C78" s="291" t="s">
        <v>1700</v>
      </c>
      <c r="D78" s="292">
        <v>30</v>
      </c>
      <c r="E78" s="292">
        <v>0</v>
      </c>
      <c r="F78" s="292">
        <v>4</v>
      </c>
      <c r="G78" s="292">
        <v>24</v>
      </c>
      <c r="H78" s="292" t="s">
        <v>484</v>
      </c>
      <c r="I78" s="292">
        <v>6</v>
      </c>
      <c r="J78" s="292">
        <v>0</v>
      </c>
      <c r="K78" s="292" t="s">
        <v>431</v>
      </c>
      <c r="L78" s="292">
        <v>7</v>
      </c>
      <c r="M78" s="288" t="s">
        <v>813</v>
      </c>
      <c r="N78" s="293" t="s">
        <v>814</v>
      </c>
      <c r="O78" s="294" t="s">
        <v>1347</v>
      </c>
      <c r="P78" s="297">
        <v>201426765</v>
      </c>
      <c r="Q78" s="297">
        <v>185816229412</v>
      </c>
    </row>
    <row r="79" spans="1:17" ht="18.75" x14ac:dyDescent="0.25">
      <c r="A79" s="289">
        <v>71</v>
      </c>
      <c r="B79" s="290">
        <v>274613</v>
      </c>
      <c r="C79" s="291" t="s">
        <v>1667</v>
      </c>
      <c r="D79" s="292">
        <v>24</v>
      </c>
      <c r="E79" s="292">
        <v>0</v>
      </c>
      <c r="F79" s="292">
        <v>8</v>
      </c>
      <c r="G79" s="292">
        <v>20</v>
      </c>
      <c r="H79" s="292" t="s">
        <v>484</v>
      </c>
      <c r="I79" s="292">
        <v>8</v>
      </c>
      <c r="J79" s="292">
        <v>0</v>
      </c>
      <c r="K79" s="292" t="s">
        <v>431</v>
      </c>
      <c r="L79" s="292" t="s">
        <v>486</v>
      </c>
      <c r="M79" s="288" t="s">
        <v>815</v>
      </c>
      <c r="N79" s="293" t="s">
        <v>556</v>
      </c>
      <c r="O79" s="294" t="s">
        <v>1348</v>
      </c>
      <c r="P79" s="297">
        <v>75614688</v>
      </c>
      <c r="Q79" s="297" t="s">
        <v>1676</v>
      </c>
    </row>
    <row r="80" spans="1:17" ht="18.75" x14ac:dyDescent="0.25">
      <c r="A80" s="289">
        <v>72</v>
      </c>
      <c r="B80" s="290">
        <v>274621</v>
      </c>
      <c r="C80" s="291" t="s">
        <v>1346</v>
      </c>
      <c r="D80" s="292">
        <v>9</v>
      </c>
      <c r="E80" s="292">
        <v>0</v>
      </c>
      <c r="F80" s="292">
        <v>5</v>
      </c>
      <c r="G80" s="292">
        <v>4</v>
      </c>
      <c r="H80" s="292" t="s">
        <v>484</v>
      </c>
      <c r="I80" s="292">
        <v>8</v>
      </c>
      <c r="J80" s="292">
        <v>0</v>
      </c>
      <c r="K80" s="292" t="s">
        <v>431</v>
      </c>
      <c r="L80" s="292">
        <v>7</v>
      </c>
      <c r="M80" s="288" t="s">
        <v>816</v>
      </c>
      <c r="N80" s="293" t="s">
        <v>817</v>
      </c>
      <c r="O80" s="294" t="s">
        <v>1349</v>
      </c>
      <c r="P80" s="297">
        <v>2929415625</v>
      </c>
      <c r="Q80" s="297">
        <v>25847983125</v>
      </c>
    </row>
    <row r="81" spans="1:17" ht="18.75" x14ac:dyDescent="0.25">
      <c r="A81" s="289">
        <v>73</v>
      </c>
      <c r="B81" s="290">
        <v>271478</v>
      </c>
      <c r="C81" s="291" t="s">
        <v>1275</v>
      </c>
      <c r="D81" s="292">
        <v>11</v>
      </c>
      <c r="E81" s="292">
        <v>0</v>
      </c>
      <c r="F81" s="292">
        <v>3</v>
      </c>
      <c r="G81" s="292">
        <v>6</v>
      </c>
      <c r="H81" s="292" t="s">
        <v>484</v>
      </c>
      <c r="I81" s="292">
        <v>4</v>
      </c>
      <c r="J81" s="292">
        <v>0</v>
      </c>
      <c r="K81" s="292" t="s">
        <v>431</v>
      </c>
      <c r="L81" s="292">
        <v>7</v>
      </c>
      <c r="M81" s="288" t="s">
        <v>818</v>
      </c>
      <c r="N81" s="293" t="s">
        <v>560</v>
      </c>
      <c r="O81" s="294" t="s">
        <v>1350</v>
      </c>
      <c r="P81" s="297">
        <v>1985002308</v>
      </c>
      <c r="Q81" s="297">
        <v>1734883274615</v>
      </c>
    </row>
    <row r="82" spans="1:17" ht="18.75" x14ac:dyDescent="0.25">
      <c r="A82" s="289">
        <v>74</v>
      </c>
      <c r="B82" s="290">
        <v>395137</v>
      </c>
      <c r="C82" s="291" t="s">
        <v>1346</v>
      </c>
      <c r="D82" s="292">
        <v>9</v>
      </c>
      <c r="E82" s="292">
        <v>0</v>
      </c>
      <c r="F82" s="292">
        <v>5</v>
      </c>
      <c r="G82" s="292">
        <v>6</v>
      </c>
      <c r="H82" s="292" t="s">
        <v>484</v>
      </c>
      <c r="I82" s="292">
        <v>4</v>
      </c>
      <c r="J82" s="292">
        <v>0</v>
      </c>
      <c r="K82" s="292" t="s">
        <v>431</v>
      </c>
      <c r="L82" s="292">
        <v>7</v>
      </c>
      <c r="M82" s="288" t="s">
        <v>807</v>
      </c>
      <c r="N82" s="293" t="s">
        <v>819</v>
      </c>
      <c r="O82" s="294" t="s">
        <v>1351</v>
      </c>
      <c r="P82" s="297">
        <v>77820769</v>
      </c>
      <c r="Q82" s="297">
        <v>69389268462</v>
      </c>
    </row>
    <row r="83" spans="1:17" ht="18.75" x14ac:dyDescent="0.25">
      <c r="A83" s="289">
        <v>75</v>
      </c>
      <c r="B83" s="290">
        <v>73684</v>
      </c>
      <c r="C83" s="291" t="s">
        <v>1281</v>
      </c>
      <c r="D83" s="292">
        <v>15</v>
      </c>
      <c r="E83" s="292">
        <v>0</v>
      </c>
      <c r="F83" s="292">
        <v>0</v>
      </c>
      <c r="G83" s="292">
        <v>6</v>
      </c>
      <c r="H83" s="292" t="s">
        <v>484</v>
      </c>
      <c r="I83" s="292">
        <v>4</v>
      </c>
      <c r="J83" s="292">
        <v>0</v>
      </c>
      <c r="K83" s="292" t="s">
        <v>431</v>
      </c>
      <c r="L83" s="292">
        <v>7</v>
      </c>
      <c r="M83" s="288" t="s">
        <v>820</v>
      </c>
      <c r="N83" s="293" t="s">
        <v>695</v>
      </c>
      <c r="O83" s="294" t="s">
        <v>1352</v>
      </c>
      <c r="P83" s="297">
        <v>846861765</v>
      </c>
      <c r="Q83" s="297">
        <v>760381029412</v>
      </c>
    </row>
    <row r="84" spans="1:17" ht="18.75" x14ac:dyDescent="0.25">
      <c r="A84" s="289">
        <v>76</v>
      </c>
      <c r="B84" s="290">
        <v>271411</v>
      </c>
      <c r="C84" s="291" t="s">
        <v>774</v>
      </c>
      <c r="D84" s="292">
        <v>7</v>
      </c>
      <c r="E84" s="292">
        <v>0</v>
      </c>
      <c r="F84" s="292">
        <v>0</v>
      </c>
      <c r="G84" s="292">
        <v>5</v>
      </c>
      <c r="H84" s="292" t="s">
        <v>484</v>
      </c>
      <c r="I84" s="292">
        <v>1</v>
      </c>
      <c r="J84" s="292">
        <v>0</v>
      </c>
      <c r="K84" s="292" t="s">
        <v>431</v>
      </c>
      <c r="L84" s="292">
        <v>7</v>
      </c>
      <c r="M84" s="288" t="s">
        <v>810</v>
      </c>
      <c r="N84" s="293" t="s">
        <v>566</v>
      </c>
      <c r="O84" s="294" t="s">
        <v>1353</v>
      </c>
      <c r="P84" s="297">
        <v>1393644286</v>
      </c>
      <c r="Q84" s="297">
        <v>1222533825714</v>
      </c>
    </row>
    <row r="85" spans="1:17" ht="18.75" x14ac:dyDescent="0.25">
      <c r="A85" s="289">
        <v>77</v>
      </c>
      <c r="B85" s="290">
        <v>274597</v>
      </c>
      <c r="C85" s="291" t="s">
        <v>510</v>
      </c>
      <c r="D85" s="292">
        <v>18</v>
      </c>
      <c r="E85" s="292">
        <v>0</v>
      </c>
      <c r="F85" s="292">
        <v>0</v>
      </c>
      <c r="G85" s="292">
        <v>14</v>
      </c>
      <c r="H85" s="292" t="s">
        <v>484</v>
      </c>
      <c r="I85" s="292">
        <v>4</v>
      </c>
      <c r="J85" s="292">
        <v>2</v>
      </c>
      <c r="K85" s="292" t="s">
        <v>431</v>
      </c>
      <c r="L85" s="292">
        <v>7</v>
      </c>
      <c r="M85" s="288" t="s">
        <v>810</v>
      </c>
      <c r="N85" s="293" t="s">
        <v>550</v>
      </c>
      <c r="O85" s="294" t="s">
        <v>1344</v>
      </c>
      <c r="P85" s="297">
        <v>16172975</v>
      </c>
      <c r="Q85" s="297" t="s">
        <v>1701</v>
      </c>
    </row>
    <row r="86" spans="1:17" ht="18.75" x14ac:dyDescent="0.25">
      <c r="A86" s="289">
        <v>78</v>
      </c>
      <c r="B86" s="290">
        <v>306035</v>
      </c>
      <c r="C86" s="291" t="s">
        <v>1346</v>
      </c>
      <c r="D86" s="292">
        <v>9</v>
      </c>
      <c r="E86" s="292">
        <v>0</v>
      </c>
      <c r="F86" s="292">
        <v>26</v>
      </c>
      <c r="G86" s="292">
        <v>4</v>
      </c>
      <c r="H86" s="292" t="s">
        <v>484</v>
      </c>
      <c r="I86" s="292">
        <v>5</v>
      </c>
      <c r="J86" s="292">
        <v>0</v>
      </c>
      <c r="K86" s="292" t="s">
        <v>431</v>
      </c>
      <c r="L86" s="292">
        <v>7</v>
      </c>
      <c r="M86" s="288" t="s">
        <v>821</v>
      </c>
      <c r="N86" s="293" t="s">
        <v>822</v>
      </c>
      <c r="O86" s="294" t="s">
        <v>1354</v>
      </c>
      <c r="P86" s="297">
        <v>11024516</v>
      </c>
      <c r="Q86" s="297">
        <v>8961156129</v>
      </c>
    </row>
    <row r="87" spans="1:17" ht="18.75" x14ac:dyDescent="0.25">
      <c r="A87" s="289">
        <v>79</v>
      </c>
      <c r="B87" s="290">
        <v>271452</v>
      </c>
      <c r="C87" s="291" t="s">
        <v>509</v>
      </c>
      <c r="D87" s="292">
        <v>10</v>
      </c>
      <c r="E87" s="292">
        <v>2</v>
      </c>
      <c r="F87" s="292">
        <v>2</v>
      </c>
      <c r="G87" s="292">
        <v>6</v>
      </c>
      <c r="H87" s="292" t="s">
        <v>484</v>
      </c>
      <c r="I87" s="292">
        <v>4</v>
      </c>
      <c r="J87" s="292">
        <v>0</v>
      </c>
      <c r="K87" s="292" t="s">
        <v>431</v>
      </c>
      <c r="L87" s="292">
        <v>7</v>
      </c>
      <c r="M87" s="288" t="s">
        <v>823</v>
      </c>
      <c r="N87" s="293" t="s">
        <v>824</v>
      </c>
      <c r="O87" s="294" t="s">
        <v>1355</v>
      </c>
      <c r="P87" s="297">
        <v>673905</v>
      </c>
      <c r="Q87" s="297">
        <v>583021331</v>
      </c>
    </row>
    <row r="88" spans="1:17" ht="18.75" x14ac:dyDescent="0.25">
      <c r="A88" s="289">
        <v>80</v>
      </c>
      <c r="B88" s="290">
        <v>395129</v>
      </c>
      <c r="C88" s="291" t="s">
        <v>1273</v>
      </c>
      <c r="D88" s="292">
        <v>12</v>
      </c>
      <c r="E88" s="292">
        <v>0</v>
      </c>
      <c r="F88" s="292">
        <v>0</v>
      </c>
      <c r="G88" s="292">
        <v>4</v>
      </c>
      <c r="H88" s="292" t="s">
        <v>484</v>
      </c>
      <c r="I88" s="292">
        <v>4</v>
      </c>
      <c r="J88" s="292">
        <v>0</v>
      </c>
      <c r="K88" s="292" t="s">
        <v>431</v>
      </c>
      <c r="L88" s="292">
        <v>7</v>
      </c>
      <c r="M88" s="288" t="s">
        <v>807</v>
      </c>
      <c r="N88" s="293" t="s">
        <v>825</v>
      </c>
      <c r="O88" s="294" t="s">
        <v>1356</v>
      </c>
      <c r="P88" s="297">
        <v>72529286</v>
      </c>
      <c r="Q88" s="297">
        <v>65781741429</v>
      </c>
    </row>
    <row r="89" spans="1:17" ht="18.75" x14ac:dyDescent="0.25">
      <c r="A89" s="289">
        <v>81</v>
      </c>
      <c r="B89" s="290">
        <v>274639</v>
      </c>
      <c r="C89" s="291" t="s">
        <v>1273</v>
      </c>
      <c r="D89" s="292">
        <v>16</v>
      </c>
      <c r="E89" s="292">
        <v>4</v>
      </c>
      <c r="F89" s="292">
        <v>4</v>
      </c>
      <c r="G89" s="292">
        <v>8</v>
      </c>
      <c r="H89" s="292" t="s">
        <v>484</v>
      </c>
      <c r="I89" s="292">
        <v>8</v>
      </c>
      <c r="J89" s="292">
        <v>0</v>
      </c>
      <c r="K89" s="292" t="s">
        <v>431</v>
      </c>
      <c r="L89" s="292" t="s">
        <v>486</v>
      </c>
      <c r="M89" s="288" t="s">
        <v>815</v>
      </c>
      <c r="N89" s="293" t="s">
        <v>575</v>
      </c>
      <c r="O89" s="294" t="s">
        <v>1357</v>
      </c>
      <c r="P89" s="297">
        <v>59295625</v>
      </c>
      <c r="Q89" s="297">
        <v>524447975</v>
      </c>
    </row>
    <row r="90" spans="1:17" ht="18.75" x14ac:dyDescent="0.25">
      <c r="A90" s="289">
        <v>82</v>
      </c>
      <c r="B90" s="290">
        <v>140707</v>
      </c>
      <c r="C90" s="291" t="s">
        <v>509</v>
      </c>
      <c r="D90" s="292">
        <v>10</v>
      </c>
      <c r="E90" s="292">
        <v>2</v>
      </c>
      <c r="F90" s="292">
        <v>0</v>
      </c>
      <c r="G90" s="292">
        <v>4</v>
      </c>
      <c r="H90" s="292" t="s">
        <v>484</v>
      </c>
      <c r="I90" s="292">
        <v>4</v>
      </c>
      <c r="J90" s="292">
        <v>0</v>
      </c>
      <c r="K90" s="292" t="s">
        <v>431</v>
      </c>
      <c r="L90" s="292">
        <v>7</v>
      </c>
      <c r="M90" s="288" t="s">
        <v>826</v>
      </c>
      <c r="N90" s="293" t="s">
        <v>827</v>
      </c>
      <c r="O90" s="294" t="s">
        <v>1358</v>
      </c>
      <c r="P90" s="297">
        <v>199968</v>
      </c>
      <c r="Q90" s="297" t="s">
        <v>1702</v>
      </c>
    </row>
    <row r="91" spans="1:17" ht="18.75" x14ac:dyDescent="0.25">
      <c r="A91" s="289">
        <v>83</v>
      </c>
      <c r="B91" s="290">
        <v>140715</v>
      </c>
      <c r="C91" s="291" t="s">
        <v>811</v>
      </c>
      <c r="D91" s="292">
        <v>16</v>
      </c>
      <c r="E91" s="292">
        <v>6</v>
      </c>
      <c r="F91" s="292">
        <v>0</v>
      </c>
      <c r="G91" s="292">
        <v>4</v>
      </c>
      <c r="H91" s="292" t="s">
        <v>484</v>
      </c>
      <c r="I91" s="292">
        <v>6</v>
      </c>
      <c r="J91" s="292">
        <v>0</v>
      </c>
      <c r="K91" s="292" t="s">
        <v>431</v>
      </c>
      <c r="L91" s="292">
        <v>7</v>
      </c>
      <c r="M91" s="288" t="s">
        <v>826</v>
      </c>
      <c r="N91" s="293" t="s">
        <v>828</v>
      </c>
      <c r="O91" s="294" t="s">
        <v>1359</v>
      </c>
      <c r="P91" s="297">
        <v>1506125</v>
      </c>
      <c r="Q91" s="297">
        <v>134687550625</v>
      </c>
    </row>
    <row r="92" spans="1:17" ht="18.75" x14ac:dyDescent="0.25">
      <c r="A92" s="289">
        <v>84</v>
      </c>
      <c r="B92" s="290">
        <v>176123</v>
      </c>
      <c r="C92" s="291" t="s">
        <v>777</v>
      </c>
      <c r="D92" s="292">
        <v>14</v>
      </c>
      <c r="E92" s="292">
        <v>0</v>
      </c>
      <c r="F92" s="292">
        <v>15</v>
      </c>
      <c r="G92" s="292">
        <v>6</v>
      </c>
      <c r="H92" s="292" t="s">
        <v>484</v>
      </c>
      <c r="I92" s="292">
        <v>9</v>
      </c>
      <c r="J92" s="292">
        <v>0</v>
      </c>
      <c r="K92" s="292" t="s">
        <v>431</v>
      </c>
      <c r="L92" s="292">
        <v>7</v>
      </c>
      <c r="M92" s="288" t="s">
        <v>778</v>
      </c>
      <c r="N92" s="293" t="s">
        <v>829</v>
      </c>
      <c r="O92" s="294" t="s">
        <v>1360</v>
      </c>
      <c r="P92" s="297">
        <v>1503939444</v>
      </c>
      <c r="Q92" s="297">
        <v>1468112</v>
      </c>
    </row>
    <row r="93" spans="1:17" ht="18.75" x14ac:dyDescent="0.25">
      <c r="A93" s="289">
        <v>85</v>
      </c>
      <c r="B93" s="290">
        <v>746217</v>
      </c>
      <c r="C93" s="291" t="s">
        <v>1588</v>
      </c>
      <c r="D93" s="292">
        <v>23</v>
      </c>
      <c r="E93" s="292">
        <v>10</v>
      </c>
      <c r="F93" s="292">
        <v>0</v>
      </c>
      <c r="G93" s="292">
        <v>8</v>
      </c>
      <c r="H93" s="292" t="s">
        <v>484</v>
      </c>
      <c r="I93" s="292">
        <v>9</v>
      </c>
      <c r="J93" s="292">
        <v>0</v>
      </c>
      <c r="K93" s="292" t="s">
        <v>431</v>
      </c>
      <c r="L93" s="292">
        <v>7</v>
      </c>
      <c r="M93" s="288" t="s">
        <v>769</v>
      </c>
      <c r="N93" s="293" t="s">
        <v>830</v>
      </c>
      <c r="O93" s="294" t="s">
        <v>1361</v>
      </c>
      <c r="P93" s="297">
        <v>3793409565</v>
      </c>
      <c r="Q93" s="297">
        <v>3508858823043</v>
      </c>
    </row>
    <row r="94" spans="1:17" ht="18.75" x14ac:dyDescent="0.25">
      <c r="A94" s="289">
        <v>86</v>
      </c>
      <c r="B94" s="290">
        <v>746197</v>
      </c>
      <c r="C94" s="291" t="s">
        <v>485</v>
      </c>
      <c r="D94" s="292">
        <v>0</v>
      </c>
      <c r="E94" s="292">
        <v>0</v>
      </c>
      <c r="F94" s="292">
        <v>17</v>
      </c>
      <c r="G94" s="292">
        <v>8</v>
      </c>
      <c r="H94" s="292" t="s">
        <v>484</v>
      </c>
      <c r="I94" s="292">
        <v>8</v>
      </c>
      <c r="J94" s="292">
        <v>0</v>
      </c>
      <c r="K94" s="292" t="s">
        <v>431</v>
      </c>
      <c r="L94" s="292">
        <v>7</v>
      </c>
      <c r="M94" s="288" t="s">
        <v>775</v>
      </c>
      <c r="N94" s="293" t="s">
        <v>831</v>
      </c>
      <c r="O94" s="294" t="s">
        <v>1362</v>
      </c>
      <c r="P94" s="297">
        <v>55383855</v>
      </c>
      <c r="Q94" s="297">
        <v>494905505375</v>
      </c>
    </row>
    <row r="95" spans="1:17" ht="18.75" x14ac:dyDescent="0.25">
      <c r="A95" s="289">
        <v>87</v>
      </c>
      <c r="B95" s="290">
        <v>337113</v>
      </c>
      <c r="C95" s="291" t="s">
        <v>518</v>
      </c>
      <c r="D95" s="292">
        <v>6</v>
      </c>
      <c r="E95" s="292">
        <v>0</v>
      </c>
      <c r="F95" s="292">
        <v>3</v>
      </c>
      <c r="G95" s="292">
        <v>0</v>
      </c>
      <c r="H95" s="292" t="s">
        <v>484</v>
      </c>
      <c r="I95" s="292">
        <v>6</v>
      </c>
      <c r="J95" s="292">
        <v>0</v>
      </c>
      <c r="K95" s="292" t="s">
        <v>431</v>
      </c>
      <c r="L95" s="292">
        <v>7</v>
      </c>
      <c r="M95" s="288" t="s">
        <v>775</v>
      </c>
      <c r="N95" s="293" t="s">
        <v>832</v>
      </c>
      <c r="O95" s="294" t="s">
        <v>1363</v>
      </c>
      <c r="P95" s="297">
        <v>9319577273</v>
      </c>
      <c r="Q95" s="297">
        <v>7944759297273</v>
      </c>
    </row>
    <row r="96" spans="1:17" ht="18.75" x14ac:dyDescent="0.25">
      <c r="A96" s="289">
        <v>88</v>
      </c>
      <c r="B96" s="290">
        <v>439661</v>
      </c>
      <c r="C96" s="291" t="s">
        <v>485</v>
      </c>
      <c r="D96" s="292">
        <v>0</v>
      </c>
      <c r="E96" s="292">
        <v>0</v>
      </c>
      <c r="F96" s="292">
        <v>0</v>
      </c>
      <c r="G96" s="292">
        <v>1</v>
      </c>
      <c r="H96" s="292" t="s">
        <v>484</v>
      </c>
      <c r="I96" s="292">
        <v>0</v>
      </c>
      <c r="J96" s="292">
        <v>0</v>
      </c>
      <c r="K96" s="292" t="s">
        <v>833</v>
      </c>
      <c r="L96" s="292">
        <v>7</v>
      </c>
      <c r="M96" s="288" t="s">
        <v>834</v>
      </c>
      <c r="N96" s="293" t="s">
        <v>832</v>
      </c>
      <c r="O96" s="294" t="s">
        <v>1363</v>
      </c>
      <c r="P96" s="298">
        <v>1</v>
      </c>
      <c r="Q96" s="298">
        <v>550</v>
      </c>
    </row>
    <row r="97" spans="1:17" ht="18.75" x14ac:dyDescent="0.25">
      <c r="A97" s="289">
        <v>89</v>
      </c>
      <c r="B97" s="290">
        <v>339911</v>
      </c>
      <c r="C97" s="291" t="s">
        <v>774</v>
      </c>
      <c r="D97" s="292">
        <v>7</v>
      </c>
      <c r="E97" s="292">
        <v>0</v>
      </c>
      <c r="F97" s="292">
        <v>0</v>
      </c>
      <c r="G97" s="292">
        <v>0</v>
      </c>
      <c r="H97" s="292" t="s">
        <v>484</v>
      </c>
      <c r="I97" s="292">
        <v>4</v>
      </c>
      <c r="J97" s="292">
        <v>0</v>
      </c>
      <c r="K97" s="292" t="s">
        <v>431</v>
      </c>
      <c r="L97" s="292">
        <v>7</v>
      </c>
      <c r="M97" s="288" t="s">
        <v>835</v>
      </c>
      <c r="N97" s="293" t="s">
        <v>836</v>
      </c>
      <c r="O97" s="294" t="s">
        <v>1364</v>
      </c>
      <c r="P97" s="297">
        <v>1493291429</v>
      </c>
      <c r="Q97" s="297">
        <v>1339969551429</v>
      </c>
    </row>
    <row r="98" spans="1:17" ht="18.75" x14ac:dyDescent="0.25">
      <c r="A98" s="289">
        <v>90</v>
      </c>
      <c r="B98" s="290">
        <v>746226</v>
      </c>
      <c r="C98" s="291" t="s">
        <v>485</v>
      </c>
      <c r="D98" s="292">
        <v>6</v>
      </c>
      <c r="E98" s="292">
        <v>6</v>
      </c>
      <c r="F98" s="292">
        <v>6</v>
      </c>
      <c r="G98" s="292">
        <v>3</v>
      </c>
      <c r="H98" s="292" t="s">
        <v>484</v>
      </c>
      <c r="I98" s="292">
        <v>6</v>
      </c>
      <c r="J98" s="292">
        <v>3</v>
      </c>
      <c r="K98" s="292" t="s">
        <v>431</v>
      </c>
      <c r="L98" s="292">
        <v>7</v>
      </c>
      <c r="M98" s="288" t="s">
        <v>769</v>
      </c>
      <c r="N98" s="293" t="s">
        <v>837</v>
      </c>
      <c r="O98" s="294" t="s">
        <v>1365</v>
      </c>
      <c r="P98" s="297" t="s">
        <v>1703</v>
      </c>
      <c r="Q98" s="297">
        <v>13660907013333</v>
      </c>
    </row>
    <row r="99" spans="1:17" ht="18.75" x14ac:dyDescent="0.25">
      <c r="A99" s="289">
        <v>91</v>
      </c>
      <c r="B99" s="290">
        <v>474981</v>
      </c>
      <c r="C99" s="291" t="s">
        <v>776</v>
      </c>
      <c r="D99" s="292">
        <v>4</v>
      </c>
      <c r="E99" s="292">
        <v>0</v>
      </c>
      <c r="F99" s="292">
        <v>1</v>
      </c>
      <c r="G99" s="292">
        <v>2</v>
      </c>
      <c r="H99" s="292" t="s">
        <v>484</v>
      </c>
      <c r="I99" s="292">
        <v>1</v>
      </c>
      <c r="J99" s="292">
        <v>0</v>
      </c>
      <c r="K99" s="292" t="s">
        <v>431</v>
      </c>
      <c r="L99" s="292">
        <v>7</v>
      </c>
      <c r="M99" s="288" t="s">
        <v>800</v>
      </c>
      <c r="N99" s="293" t="s">
        <v>838</v>
      </c>
      <c r="O99" s="294" t="s">
        <v>1366</v>
      </c>
      <c r="P99" s="297">
        <v>38943825</v>
      </c>
      <c r="Q99" s="297">
        <v>3411009125</v>
      </c>
    </row>
    <row r="100" spans="1:17" ht="18.75" x14ac:dyDescent="0.25">
      <c r="A100" s="289">
        <v>92</v>
      </c>
      <c r="B100" s="290">
        <v>474973</v>
      </c>
      <c r="C100" s="291" t="s">
        <v>771</v>
      </c>
      <c r="D100" s="292">
        <v>3</v>
      </c>
      <c r="E100" s="292">
        <v>0</v>
      </c>
      <c r="F100" s="292">
        <v>3</v>
      </c>
      <c r="G100" s="292">
        <v>3</v>
      </c>
      <c r="H100" s="292" t="s">
        <v>484</v>
      </c>
      <c r="I100" s="292">
        <v>2</v>
      </c>
      <c r="J100" s="292">
        <v>0</v>
      </c>
      <c r="K100" s="292" t="s">
        <v>431</v>
      </c>
      <c r="L100" s="292">
        <v>7</v>
      </c>
      <c r="M100" s="288" t="s">
        <v>800</v>
      </c>
      <c r="N100" s="293" t="s">
        <v>598</v>
      </c>
      <c r="O100" s="294" t="s">
        <v>1367</v>
      </c>
      <c r="P100" s="297">
        <v>3267525</v>
      </c>
      <c r="Q100" s="297">
        <v>2671477125</v>
      </c>
    </row>
    <row r="101" spans="1:17" ht="18.75" x14ac:dyDescent="0.25">
      <c r="A101" s="289">
        <v>93</v>
      </c>
      <c r="B101" s="290">
        <v>746228</v>
      </c>
      <c r="C101" s="291" t="s">
        <v>519</v>
      </c>
      <c r="D101" s="292">
        <v>5</v>
      </c>
      <c r="E101" s="292">
        <v>3</v>
      </c>
      <c r="F101" s="292">
        <v>0</v>
      </c>
      <c r="G101" s="292">
        <v>1</v>
      </c>
      <c r="H101" s="292" t="s">
        <v>484</v>
      </c>
      <c r="I101" s="292">
        <v>3</v>
      </c>
      <c r="J101" s="292">
        <v>0</v>
      </c>
      <c r="K101" s="292" t="s">
        <v>431</v>
      </c>
      <c r="L101" s="292">
        <v>7</v>
      </c>
      <c r="M101" s="288" t="s">
        <v>769</v>
      </c>
      <c r="N101" s="293" t="s">
        <v>839</v>
      </c>
      <c r="O101" s="294" t="s">
        <v>1368</v>
      </c>
      <c r="P101" s="297">
        <v>5802686</v>
      </c>
      <c r="Q101" s="297">
        <v>5465651984</v>
      </c>
    </row>
    <row r="102" spans="1:17" ht="18.75" x14ac:dyDescent="0.25">
      <c r="A102" s="289">
        <v>94</v>
      </c>
      <c r="B102" s="290">
        <v>746227</v>
      </c>
      <c r="C102" s="291" t="s">
        <v>782</v>
      </c>
      <c r="D102" s="292">
        <v>5</v>
      </c>
      <c r="E102" s="292">
        <v>0</v>
      </c>
      <c r="F102" s="292">
        <v>1</v>
      </c>
      <c r="G102" s="292">
        <v>3</v>
      </c>
      <c r="H102" s="292" t="s">
        <v>484</v>
      </c>
      <c r="I102" s="292">
        <v>3</v>
      </c>
      <c r="J102" s="292">
        <v>1</v>
      </c>
      <c r="K102" s="292" t="s">
        <v>431</v>
      </c>
      <c r="L102" s="292">
        <v>7</v>
      </c>
      <c r="M102" s="288" t="s">
        <v>769</v>
      </c>
      <c r="N102" s="293" t="s">
        <v>839</v>
      </c>
      <c r="O102" s="294" t="s">
        <v>1368</v>
      </c>
      <c r="P102" s="297">
        <v>2253745</v>
      </c>
      <c r="Q102" s="297">
        <v>1985264041667</v>
      </c>
    </row>
    <row r="103" spans="1:17" ht="18.75" x14ac:dyDescent="0.25">
      <c r="A103" s="289">
        <v>95</v>
      </c>
      <c r="B103" s="290">
        <v>746229</v>
      </c>
      <c r="C103" s="291" t="s">
        <v>782</v>
      </c>
      <c r="D103" s="292">
        <v>5</v>
      </c>
      <c r="E103" s="292">
        <v>0</v>
      </c>
      <c r="F103" s="292">
        <v>1</v>
      </c>
      <c r="G103" s="292">
        <v>3</v>
      </c>
      <c r="H103" s="292" t="s">
        <v>484</v>
      </c>
      <c r="I103" s="292">
        <v>3</v>
      </c>
      <c r="J103" s="292">
        <v>1</v>
      </c>
      <c r="K103" s="292" t="s">
        <v>431</v>
      </c>
      <c r="L103" s="292">
        <v>7</v>
      </c>
      <c r="M103" s="288" t="s">
        <v>769</v>
      </c>
      <c r="N103" s="293" t="s">
        <v>840</v>
      </c>
      <c r="O103" s="294" t="s">
        <v>1369</v>
      </c>
      <c r="P103" s="297">
        <v>2514138333</v>
      </c>
      <c r="Q103" s="297">
        <v>2214945868333</v>
      </c>
    </row>
    <row r="104" spans="1:17" ht="18.75" x14ac:dyDescent="0.25">
      <c r="A104" s="289">
        <v>96</v>
      </c>
      <c r="B104" s="290">
        <v>746230</v>
      </c>
      <c r="C104" s="291" t="s">
        <v>782</v>
      </c>
      <c r="D104" s="292">
        <v>5</v>
      </c>
      <c r="E104" s="292">
        <v>0</v>
      </c>
      <c r="F104" s="292">
        <v>1</v>
      </c>
      <c r="G104" s="292">
        <v>3</v>
      </c>
      <c r="H104" s="292" t="s">
        <v>484</v>
      </c>
      <c r="I104" s="292">
        <v>3</v>
      </c>
      <c r="J104" s="292">
        <v>1</v>
      </c>
      <c r="K104" s="292" t="s">
        <v>431</v>
      </c>
      <c r="L104" s="292">
        <v>7</v>
      </c>
      <c r="M104" s="288" t="s">
        <v>769</v>
      </c>
      <c r="N104" s="293" t="s">
        <v>840</v>
      </c>
      <c r="O104" s="294" t="s">
        <v>1369</v>
      </c>
      <c r="P104" s="297">
        <v>2655158333</v>
      </c>
      <c r="Q104" s="297">
        <v>2296073656667</v>
      </c>
    </row>
    <row r="105" spans="1:17" ht="18.75" x14ac:dyDescent="0.25">
      <c r="A105" s="289">
        <v>97</v>
      </c>
      <c r="B105" s="290">
        <v>746240</v>
      </c>
      <c r="C105" s="291" t="s">
        <v>774</v>
      </c>
      <c r="D105" s="292">
        <v>7</v>
      </c>
      <c r="E105" s="292">
        <v>0</v>
      </c>
      <c r="F105" s="292">
        <v>1</v>
      </c>
      <c r="G105" s="292">
        <v>2</v>
      </c>
      <c r="H105" s="292" t="s">
        <v>484</v>
      </c>
      <c r="I105" s="292">
        <v>4</v>
      </c>
      <c r="J105" s="292">
        <v>0</v>
      </c>
      <c r="K105" s="292" t="s">
        <v>431</v>
      </c>
      <c r="L105" s="292">
        <v>7</v>
      </c>
      <c r="M105" s="288" t="s">
        <v>769</v>
      </c>
      <c r="N105" s="293" t="s">
        <v>840</v>
      </c>
      <c r="O105" s="294" t="s">
        <v>1369</v>
      </c>
      <c r="P105" s="297">
        <v>81283925</v>
      </c>
      <c r="Q105" s="297" t="s">
        <v>1704</v>
      </c>
    </row>
    <row r="106" spans="1:17" ht="18.75" x14ac:dyDescent="0.25">
      <c r="A106" s="289">
        <v>98</v>
      </c>
      <c r="B106" s="290">
        <v>746241</v>
      </c>
      <c r="C106" s="291" t="s">
        <v>771</v>
      </c>
      <c r="D106" s="292">
        <v>3</v>
      </c>
      <c r="E106" s="292">
        <v>0</v>
      </c>
      <c r="F106" s="292">
        <v>0</v>
      </c>
      <c r="G106" s="292">
        <v>1</v>
      </c>
      <c r="H106" s="292" t="s">
        <v>484</v>
      </c>
      <c r="I106" s="292">
        <v>2</v>
      </c>
      <c r="J106" s="292">
        <v>1</v>
      </c>
      <c r="K106" s="292" t="s">
        <v>431</v>
      </c>
      <c r="L106" s="292">
        <v>7</v>
      </c>
      <c r="M106" s="288" t="s">
        <v>769</v>
      </c>
      <c r="N106" s="293" t="s">
        <v>840</v>
      </c>
      <c r="O106" s="294" t="s">
        <v>1369</v>
      </c>
      <c r="P106" s="297">
        <v>11236595</v>
      </c>
      <c r="Q106" s="297">
        <v>98752991425</v>
      </c>
    </row>
    <row r="107" spans="1:17" ht="18.75" x14ac:dyDescent="0.25">
      <c r="A107" s="289">
        <v>99</v>
      </c>
      <c r="B107" s="290">
        <v>746242</v>
      </c>
      <c r="C107" s="291" t="s">
        <v>776</v>
      </c>
      <c r="D107" s="292">
        <v>4</v>
      </c>
      <c r="E107" s="292">
        <v>0</v>
      </c>
      <c r="F107" s="292">
        <v>1</v>
      </c>
      <c r="G107" s="292">
        <v>3</v>
      </c>
      <c r="H107" s="292" t="s">
        <v>484</v>
      </c>
      <c r="I107" s="292">
        <v>3</v>
      </c>
      <c r="J107" s="292">
        <v>2</v>
      </c>
      <c r="K107" s="292" t="s">
        <v>431</v>
      </c>
      <c r="L107" s="292">
        <v>7</v>
      </c>
      <c r="M107" s="288" t="s">
        <v>769</v>
      </c>
      <c r="N107" s="293" t="s">
        <v>840</v>
      </c>
      <c r="O107" s="294" t="s">
        <v>1369</v>
      </c>
      <c r="P107" s="297">
        <v>2354256667</v>
      </c>
      <c r="Q107" s="297">
        <v>2070332255</v>
      </c>
    </row>
    <row r="108" spans="1:17" ht="18.75" x14ac:dyDescent="0.25">
      <c r="A108" s="289">
        <v>100</v>
      </c>
      <c r="B108" s="290">
        <v>155671</v>
      </c>
      <c r="C108" s="291" t="s">
        <v>774</v>
      </c>
      <c r="D108" s="292">
        <v>7</v>
      </c>
      <c r="E108" s="292">
        <v>0</v>
      </c>
      <c r="F108" s="292">
        <v>4</v>
      </c>
      <c r="G108" s="292">
        <v>6</v>
      </c>
      <c r="H108" s="292" t="s">
        <v>484</v>
      </c>
      <c r="I108" s="292">
        <v>4</v>
      </c>
      <c r="J108" s="292">
        <v>0</v>
      </c>
      <c r="K108" s="292" t="s">
        <v>431</v>
      </c>
      <c r="L108" s="292">
        <v>7</v>
      </c>
      <c r="M108" s="288" t="s">
        <v>795</v>
      </c>
      <c r="N108" s="293" t="s">
        <v>841</v>
      </c>
      <c r="O108" s="294" t="s">
        <v>1370</v>
      </c>
      <c r="P108" s="297">
        <v>655032222</v>
      </c>
      <c r="Q108" s="297">
        <v>572136177778</v>
      </c>
    </row>
    <row r="109" spans="1:17" ht="18.75" x14ac:dyDescent="0.25">
      <c r="A109" s="289">
        <v>101</v>
      </c>
      <c r="B109" s="290">
        <v>155663</v>
      </c>
      <c r="C109" s="291" t="s">
        <v>1273</v>
      </c>
      <c r="D109" s="292">
        <v>12</v>
      </c>
      <c r="E109" s="292">
        <v>0</v>
      </c>
      <c r="F109" s="292">
        <v>2</v>
      </c>
      <c r="G109" s="292">
        <v>6</v>
      </c>
      <c r="H109" s="292" t="s">
        <v>484</v>
      </c>
      <c r="I109" s="292">
        <v>6</v>
      </c>
      <c r="J109" s="292">
        <v>0</v>
      </c>
      <c r="K109" s="292" t="s">
        <v>431</v>
      </c>
      <c r="L109" s="292" t="s">
        <v>486</v>
      </c>
      <c r="M109" s="288" t="s">
        <v>790</v>
      </c>
      <c r="N109" s="293" t="s">
        <v>842</v>
      </c>
      <c r="O109" s="294" t="s">
        <v>1371</v>
      </c>
      <c r="P109" s="297">
        <v>336847857</v>
      </c>
      <c r="Q109" s="297">
        <v>292222677143</v>
      </c>
    </row>
    <row r="110" spans="1:17" ht="18.75" x14ac:dyDescent="0.25">
      <c r="A110" s="289">
        <v>102</v>
      </c>
      <c r="B110" s="290">
        <v>49973</v>
      </c>
      <c r="C110" s="291" t="s">
        <v>485</v>
      </c>
      <c r="D110" s="292">
        <v>0</v>
      </c>
      <c r="E110" s="292">
        <v>0</v>
      </c>
      <c r="F110" s="292">
        <v>4</v>
      </c>
      <c r="G110" s="292">
        <v>6</v>
      </c>
      <c r="H110" s="292" t="s">
        <v>484</v>
      </c>
      <c r="I110" s="292">
        <v>8</v>
      </c>
      <c r="J110" s="292">
        <v>0</v>
      </c>
      <c r="K110" s="292" t="s">
        <v>431</v>
      </c>
      <c r="L110" s="292" t="s">
        <v>486</v>
      </c>
      <c r="M110" s="288" t="s">
        <v>1623</v>
      </c>
      <c r="N110" s="293" t="s">
        <v>1624</v>
      </c>
      <c r="O110" s="294" t="s">
        <v>1625</v>
      </c>
      <c r="P110" s="297" t="s">
        <v>1626</v>
      </c>
      <c r="Q110" s="297">
        <v>44033614</v>
      </c>
    </row>
    <row r="111" spans="1:17" ht="18.75" x14ac:dyDescent="0.25">
      <c r="A111" s="289">
        <v>103</v>
      </c>
      <c r="B111" s="290">
        <v>88799</v>
      </c>
      <c r="C111" s="291" t="s">
        <v>1667</v>
      </c>
      <c r="D111" s="292">
        <v>24</v>
      </c>
      <c r="E111" s="292">
        <v>0</v>
      </c>
      <c r="F111" s="292">
        <v>11</v>
      </c>
      <c r="G111" s="292">
        <v>14</v>
      </c>
      <c r="H111" s="292" t="s">
        <v>484</v>
      </c>
      <c r="I111" s="292">
        <v>16</v>
      </c>
      <c r="J111" s="292">
        <v>0</v>
      </c>
      <c r="K111" s="292" t="s">
        <v>431</v>
      </c>
      <c r="L111" s="292">
        <v>7</v>
      </c>
      <c r="M111" s="288" t="s">
        <v>843</v>
      </c>
      <c r="N111" s="293" t="s">
        <v>844</v>
      </c>
      <c r="O111" s="294" t="s">
        <v>1372</v>
      </c>
      <c r="P111" s="297">
        <v>950029655</v>
      </c>
      <c r="Q111" s="297">
        <v>807113593448</v>
      </c>
    </row>
    <row r="112" spans="1:17" ht="18.75" x14ac:dyDescent="0.25">
      <c r="A112" s="289">
        <v>104</v>
      </c>
      <c r="B112" s="290">
        <v>155655</v>
      </c>
      <c r="C112" s="291" t="s">
        <v>503</v>
      </c>
      <c r="D112" s="292">
        <v>17</v>
      </c>
      <c r="E112" s="292">
        <v>1</v>
      </c>
      <c r="F112" s="292">
        <v>0</v>
      </c>
      <c r="G112" s="292">
        <v>12</v>
      </c>
      <c r="H112" s="292" t="s">
        <v>484</v>
      </c>
      <c r="I112" s="292">
        <v>4</v>
      </c>
      <c r="J112" s="292">
        <v>0</v>
      </c>
      <c r="K112" s="292" t="s">
        <v>431</v>
      </c>
      <c r="L112" s="292">
        <v>7</v>
      </c>
      <c r="M112" s="288" t="s">
        <v>775</v>
      </c>
      <c r="N112" s="293" t="s">
        <v>845</v>
      </c>
      <c r="O112" s="294" t="s">
        <v>1373</v>
      </c>
      <c r="P112" s="297">
        <v>2581317059</v>
      </c>
      <c r="Q112" s="297">
        <v>2408081224706</v>
      </c>
    </row>
    <row r="113" spans="1:17" ht="18.75" x14ac:dyDescent="0.25">
      <c r="A113" s="289">
        <v>105</v>
      </c>
      <c r="B113" s="290">
        <v>130781</v>
      </c>
      <c r="C113" s="291" t="s">
        <v>509</v>
      </c>
      <c r="D113" s="292">
        <v>8</v>
      </c>
      <c r="E113" s="292">
        <v>0</v>
      </c>
      <c r="F113" s="292">
        <v>3</v>
      </c>
      <c r="G113" s="292">
        <v>6</v>
      </c>
      <c r="H113" s="292" t="s">
        <v>484</v>
      </c>
      <c r="I113" s="292">
        <v>4</v>
      </c>
      <c r="J113" s="292">
        <v>0</v>
      </c>
      <c r="K113" s="292" t="s">
        <v>431</v>
      </c>
      <c r="L113" s="292">
        <v>7</v>
      </c>
      <c r="M113" s="288" t="s">
        <v>775</v>
      </c>
      <c r="N113" s="293" t="s">
        <v>846</v>
      </c>
      <c r="O113" s="294" t="s">
        <v>1374</v>
      </c>
      <c r="P113" s="297">
        <v>50998182</v>
      </c>
      <c r="Q113" s="297">
        <v>42094479091</v>
      </c>
    </row>
    <row r="114" spans="1:17" ht="18.75" x14ac:dyDescent="0.25">
      <c r="A114" s="289">
        <v>106</v>
      </c>
      <c r="B114" s="290">
        <v>746237</v>
      </c>
      <c r="C114" s="291" t="s">
        <v>776</v>
      </c>
      <c r="D114" s="292">
        <v>4</v>
      </c>
      <c r="E114" s="292">
        <v>0</v>
      </c>
      <c r="F114" s="292">
        <v>0</v>
      </c>
      <c r="G114" s="292">
        <v>1</v>
      </c>
      <c r="H114" s="292" t="s">
        <v>484</v>
      </c>
      <c r="I114" s="292">
        <v>3</v>
      </c>
      <c r="J114" s="292">
        <v>1</v>
      </c>
      <c r="K114" s="292" t="s">
        <v>431</v>
      </c>
      <c r="L114" s="292">
        <v>7</v>
      </c>
      <c r="M114" s="288" t="s">
        <v>769</v>
      </c>
      <c r="N114" s="293" t="s">
        <v>847</v>
      </c>
      <c r="O114" s="294" t="s">
        <v>1375</v>
      </c>
      <c r="P114" s="297" t="s">
        <v>1677</v>
      </c>
      <c r="Q114" s="297">
        <v>1388702236</v>
      </c>
    </row>
    <row r="115" spans="1:17" ht="18.75" x14ac:dyDescent="0.25">
      <c r="A115" s="289">
        <v>107</v>
      </c>
      <c r="B115" s="290">
        <v>746236</v>
      </c>
      <c r="C115" s="291" t="s">
        <v>776</v>
      </c>
      <c r="D115" s="292">
        <v>5</v>
      </c>
      <c r="E115" s="292">
        <v>1</v>
      </c>
      <c r="F115" s="292">
        <v>1</v>
      </c>
      <c r="G115" s="292">
        <v>2</v>
      </c>
      <c r="H115" s="292" t="s">
        <v>484</v>
      </c>
      <c r="I115" s="292">
        <v>3</v>
      </c>
      <c r="J115" s="292">
        <v>0</v>
      </c>
      <c r="K115" s="292" t="s">
        <v>431</v>
      </c>
      <c r="L115" s="292">
        <v>7</v>
      </c>
      <c r="M115" s="288" t="s">
        <v>769</v>
      </c>
      <c r="N115" s="293" t="s">
        <v>848</v>
      </c>
      <c r="O115" s="294" t="s">
        <v>1376</v>
      </c>
      <c r="P115" s="297">
        <v>3481888</v>
      </c>
      <c r="Q115" s="297">
        <v>3100973332</v>
      </c>
    </row>
    <row r="116" spans="1:17" ht="18.75" x14ac:dyDescent="0.25">
      <c r="A116" s="289">
        <v>108</v>
      </c>
      <c r="B116" s="290">
        <v>746216</v>
      </c>
      <c r="C116" s="291" t="s">
        <v>776</v>
      </c>
      <c r="D116" s="292">
        <v>6</v>
      </c>
      <c r="E116" s="292">
        <v>2</v>
      </c>
      <c r="F116" s="292">
        <v>0</v>
      </c>
      <c r="G116" s="292">
        <v>3</v>
      </c>
      <c r="H116" s="292" t="s">
        <v>484</v>
      </c>
      <c r="I116" s="292">
        <v>3</v>
      </c>
      <c r="J116" s="292">
        <v>1</v>
      </c>
      <c r="K116" s="292" t="s">
        <v>431</v>
      </c>
      <c r="L116" s="292">
        <v>7</v>
      </c>
      <c r="M116" s="288" t="s">
        <v>769</v>
      </c>
      <c r="N116" s="293" t="s">
        <v>830</v>
      </c>
      <c r="O116" s="294" t="s">
        <v>1361</v>
      </c>
      <c r="P116" s="297">
        <v>3624981667</v>
      </c>
      <c r="Q116" s="297">
        <v>3287356945</v>
      </c>
    </row>
    <row r="117" spans="1:17" ht="18.75" x14ac:dyDescent="0.25">
      <c r="A117" s="289">
        <v>109</v>
      </c>
      <c r="B117" s="290">
        <v>746243</v>
      </c>
      <c r="C117" s="291" t="s">
        <v>782</v>
      </c>
      <c r="D117" s="292">
        <v>5</v>
      </c>
      <c r="E117" s="292">
        <v>0</v>
      </c>
      <c r="F117" s="292">
        <v>1</v>
      </c>
      <c r="G117" s="292">
        <v>3</v>
      </c>
      <c r="H117" s="292" t="s">
        <v>484</v>
      </c>
      <c r="I117" s="292">
        <v>3</v>
      </c>
      <c r="J117" s="292">
        <v>1</v>
      </c>
      <c r="K117" s="292" t="s">
        <v>431</v>
      </c>
      <c r="L117" s="292">
        <v>7</v>
      </c>
      <c r="M117" s="288" t="s">
        <v>769</v>
      </c>
      <c r="N117" s="293" t="s">
        <v>848</v>
      </c>
      <c r="O117" s="294" t="s">
        <v>1376</v>
      </c>
      <c r="P117" s="297">
        <v>15713701667</v>
      </c>
      <c r="Q117" s="297">
        <v>13712600588333</v>
      </c>
    </row>
    <row r="118" spans="1:17" ht="18.75" x14ac:dyDescent="0.25">
      <c r="A118" s="289">
        <v>110</v>
      </c>
      <c r="B118" s="290">
        <v>155598</v>
      </c>
      <c r="C118" s="291" t="s">
        <v>518</v>
      </c>
      <c r="D118" s="292">
        <v>11</v>
      </c>
      <c r="E118" s="292">
        <v>5</v>
      </c>
      <c r="F118" s="292">
        <v>0</v>
      </c>
      <c r="G118" s="292">
        <v>7</v>
      </c>
      <c r="H118" s="292" t="s">
        <v>484</v>
      </c>
      <c r="I118" s="292">
        <v>2</v>
      </c>
      <c r="J118" s="292">
        <v>0</v>
      </c>
      <c r="K118" s="292" t="s">
        <v>431</v>
      </c>
      <c r="L118" s="292">
        <v>7</v>
      </c>
      <c r="M118" s="288" t="s">
        <v>775</v>
      </c>
      <c r="N118" s="293" t="s">
        <v>849</v>
      </c>
      <c r="O118" s="294" t="s">
        <v>1377</v>
      </c>
      <c r="P118" s="297">
        <v>3239360909</v>
      </c>
      <c r="Q118" s="297">
        <v>3012594021818</v>
      </c>
    </row>
    <row r="119" spans="1:17" ht="18.75" x14ac:dyDescent="0.25">
      <c r="A119" s="289">
        <v>111</v>
      </c>
      <c r="B119" s="290">
        <v>130799</v>
      </c>
      <c r="C119" s="291" t="s">
        <v>774</v>
      </c>
      <c r="D119" s="292">
        <v>7</v>
      </c>
      <c r="E119" s="292">
        <v>0</v>
      </c>
      <c r="F119" s="292">
        <v>0</v>
      </c>
      <c r="G119" s="292">
        <v>2</v>
      </c>
      <c r="H119" s="292" t="s">
        <v>484</v>
      </c>
      <c r="I119" s="292">
        <v>2</v>
      </c>
      <c r="J119" s="292">
        <v>0</v>
      </c>
      <c r="K119" s="292" t="s">
        <v>431</v>
      </c>
      <c r="L119" s="292">
        <v>7</v>
      </c>
      <c r="M119" s="288" t="s">
        <v>775</v>
      </c>
      <c r="N119" s="293" t="s">
        <v>850</v>
      </c>
      <c r="O119" s="294" t="s">
        <v>1378</v>
      </c>
      <c r="P119" s="297">
        <v>2693175</v>
      </c>
      <c r="Q119" s="297">
        <v>2408841275</v>
      </c>
    </row>
    <row r="120" spans="1:17" ht="18.75" x14ac:dyDescent="0.25">
      <c r="A120" s="289">
        <v>112</v>
      </c>
      <c r="B120" s="290">
        <v>155606</v>
      </c>
      <c r="C120" s="291" t="s">
        <v>1705</v>
      </c>
      <c r="D120" s="292">
        <v>245</v>
      </c>
      <c r="E120" s="292">
        <v>0</v>
      </c>
      <c r="F120" s="292">
        <v>0</v>
      </c>
      <c r="G120" s="292">
        <v>100</v>
      </c>
      <c r="H120" s="292" t="s">
        <v>484</v>
      </c>
      <c r="I120" s="292">
        <v>100</v>
      </c>
      <c r="J120" s="292">
        <v>0</v>
      </c>
      <c r="K120" s="292" t="s">
        <v>431</v>
      </c>
      <c r="L120" s="292" t="s">
        <v>486</v>
      </c>
      <c r="M120" s="288" t="s">
        <v>795</v>
      </c>
      <c r="N120" s="293" t="s">
        <v>851</v>
      </c>
      <c r="O120" s="294" t="s">
        <v>1379</v>
      </c>
      <c r="P120" s="297">
        <v>46947333</v>
      </c>
      <c r="Q120" s="297">
        <v>42091518967</v>
      </c>
    </row>
    <row r="121" spans="1:17" ht="18.75" x14ac:dyDescent="0.25">
      <c r="A121" s="289">
        <v>113</v>
      </c>
      <c r="B121" s="290">
        <v>394932</v>
      </c>
      <c r="C121" s="291" t="s">
        <v>1706</v>
      </c>
      <c r="D121" s="292">
        <v>570</v>
      </c>
      <c r="E121" s="292">
        <v>0</v>
      </c>
      <c r="F121" s="292">
        <v>0</v>
      </c>
      <c r="G121" s="292">
        <v>200</v>
      </c>
      <c r="H121" s="292" t="s">
        <v>484</v>
      </c>
      <c r="I121" s="292">
        <v>300</v>
      </c>
      <c r="J121" s="292">
        <v>0</v>
      </c>
      <c r="K121" s="292" t="s">
        <v>431</v>
      </c>
      <c r="L121" s="292">
        <v>7</v>
      </c>
      <c r="M121" s="288" t="s">
        <v>793</v>
      </c>
      <c r="N121" s="293" t="s">
        <v>852</v>
      </c>
      <c r="O121" s="294" t="s">
        <v>1380</v>
      </c>
      <c r="P121" s="297">
        <v>34256125</v>
      </c>
      <c r="Q121" s="297">
        <v>30212879975</v>
      </c>
    </row>
    <row r="122" spans="1:17" ht="18.75" x14ac:dyDescent="0.25">
      <c r="A122" s="289">
        <v>114</v>
      </c>
      <c r="B122" s="290">
        <v>151571</v>
      </c>
      <c r="C122" s="291" t="s">
        <v>1707</v>
      </c>
      <c r="D122" s="292">
        <v>217</v>
      </c>
      <c r="E122" s="292">
        <v>61</v>
      </c>
      <c r="F122" s="292">
        <v>256</v>
      </c>
      <c r="G122" s="292">
        <v>150</v>
      </c>
      <c r="H122" s="292" t="s">
        <v>484</v>
      </c>
      <c r="I122" s="292">
        <v>264</v>
      </c>
      <c r="J122" s="292">
        <v>0</v>
      </c>
      <c r="K122" s="292" t="s">
        <v>431</v>
      </c>
      <c r="L122" s="292">
        <v>7</v>
      </c>
      <c r="M122" s="288" t="s">
        <v>769</v>
      </c>
      <c r="N122" s="293" t="s">
        <v>853</v>
      </c>
      <c r="O122" s="294" t="s">
        <v>1381</v>
      </c>
      <c r="P122" s="297">
        <v>2685389401</v>
      </c>
      <c r="Q122" s="297" t="s">
        <v>1679</v>
      </c>
    </row>
    <row r="123" spans="1:17" ht="18.75" x14ac:dyDescent="0.25">
      <c r="A123" s="289">
        <v>115</v>
      </c>
      <c r="B123" s="290">
        <v>460154</v>
      </c>
      <c r="C123" s="291" t="s">
        <v>1680</v>
      </c>
      <c r="D123" s="292">
        <v>68</v>
      </c>
      <c r="E123" s="292">
        <v>0</v>
      </c>
      <c r="F123" s="292">
        <v>0</v>
      </c>
      <c r="G123" s="292">
        <v>0</v>
      </c>
      <c r="H123" s="292" t="s">
        <v>484</v>
      </c>
      <c r="I123" s="292">
        <v>0</v>
      </c>
      <c r="J123" s="292">
        <v>25</v>
      </c>
      <c r="K123" s="292" t="s">
        <v>833</v>
      </c>
      <c r="L123" s="292">
        <v>7</v>
      </c>
      <c r="M123" s="288" t="s">
        <v>834</v>
      </c>
      <c r="N123" s="293" t="s">
        <v>854</v>
      </c>
      <c r="O123" s="294" t="s">
        <v>1382</v>
      </c>
      <c r="P123" s="298">
        <v>1</v>
      </c>
      <c r="Q123" s="298">
        <v>500</v>
      </c>
    </row>
    <row r="124" spans="1:17" ht="18.75" x14ac:dyDescent="0.25">
      <c r="A124" s="289">
        <v>116</v>
      </c>
      <c r="B124" s="290">
        <v>460170</v>
      </c>
      <c r="C124" s="291" t="s">
        <v>1681</v>
      </c>
      <c r="D124" s="292">
        <v>63</v>
      </c>
      <c r="E124" s="292">
        <v>0</v>
      </c>
      <c r="F124" s="292">
        <v>21</v>
      </c>
      <c r="G124" s="292">
        <v>0</v>
      </c>
      <c r="H124" s="292" t="s">
        <v>484</v>
      </c>
      <c r="I124" s="292">
        <v>0</v>
      </c>
      <c r="J124" s="292">
        <v>27</v>
      </c>
      <c r="K124" s="292" t="s">
        <v>833</v>
      </c>
      <c r="L124" s="292">
        <v>7</v>
      </c>
      <c r="M124" s="288" t="s">
        <v>834</v>
      </c>
      <c r="N124" s="293" t="s">
        <v>855</v>
      </c>
      <c r="O124" s="294" t="s">
        <v>1383</v>
      </c>
      <c r="P124" s="298">
        <v>1</v>
      </c>
      <c r="Q124" s="298">
        <v>500</v>
      </c>
    </row>
    <row r="125" spans="1:17" ht="18.75" x14ac:dyDescent="0.25">
      <c r="A125" s="289">
        <v>117</v>
      </c>
      <c r="B125" s="290">
        <v>411835</v>
      </c>
      <c r="C125" s="291" t="s">
        <v>485</v>
      </c>
      <c r="D125" s="292">
        <v>0</v>
      </c>
      <c r="E125" s="292">
        <v>0</v>
      </c>
      <c r="F125" s="292">
        <v>0</v>
      </c>
      <c r="G125" s="292">
        <v>0</v>
      </c>
      <c r="H125" s="292" t="s">
        <v>484</v>
      </c>
      <c r="I125" s="292">
        <v>100</v>
      </c>
      <c r="J125" s="292">
        <v>0</v>
      </c>
      <c r="K125" s="292" t="s">
        <v>431</v>
      </c>
      <c r="L125" s="292">
        <v>7</v>
      </c>
      <c r="M125" s="288" t="s">
        <v>856</v>
      </c>
      <c r="N125" s="293" t="s">
        <v>857</v>
      </c>
      <c r="O125" s="294" t="s">
        <v>1384</v>
      </c>
      <c r="P125" s="297">
        <v>12136072727</v>
      </c>
      <c r="Q125" s="297">
        <v>1007294036341</v>
      </c>
    </row>
    <row r="126" spans="1:17" ht="18.75" x14ac:dyDescent="0.25">
      <c r="A126" s="289">
        <v>118</v>
      </c>
      <c r="B126" s="290">
        <v>123109</v>
      </c>
      <c r="C126" s="291" t="s">
        <v>485</v>
      </c>
      <c r="D126" s="292">
        <v>0</v>
      </c>
      <c r="E126" s="292">
        <v>0</v>
      </c>
      <c r="F126" s="292">
        <v>0</v>
      </c>
      <c r="G126" s="292">
        <v>25</v>
      </c>
      <c r="H126" s="292" t="s">
        <v>484</v>
      </c>
      <c r="I126" s="292">
        <v>100</v>
      </c>
      <c r="J126" s="292">
        <v>0</v>
      </c>
      <c r="K126" s="292" t="s">
        <v>431</v>
      </c>
      <c r="L126" s="292">
        <v>7</v>
      </c>
      <c r="M126" s="288" t="s">
        <v>856</v>
      </c>
      <c r="N126" s="293" t="s">
        <v>858</v>
      </c>
      <c r="O126" s="294" t="s">
        <v>1385</v>
      </c>
      <c r="P126" s="297" t="s">
        <v>1565</v>
      </c>
      <c r="Q126" s="297" t="s">
        <v>1566</v>
      </c>
    </row>
    <row r="127" spans="1:17" ht="18.75" x14ac:dyDescent="0.25">
      <c r="A127" s="289">
        <v>119</v>
      </c>
      <c r="B127" s="290">
        <v>394866</v>
      </c>
      <c r="C127" s="291" t="s">
        <v>519</v>
      </c>
      <c r="D127" s="292">
        <v>2</v>
      </c>
      <c r="E127" s="292">
        <v>0</v>
      </c>
      <c r="F127" s="292">
        <v>0</v>
      </c>
      <c r="G127" s="292">
        <v>2</v>
      </c>
      <c r="H127" s="292" t="s">
        <v>484</v>
      </c>
      <c r="I127" s="292">
        <v>0</v>
      </c>
      <c r="J127" s="292">
        <v>0</v>
      </c>
      <c r="K127" s="292" t="s">
        <v>833</v>
      </c>
      <c r="L127" s="292">
        <v>7</v>
      </c>
      <c r="M127" s="288" t="s">
        <v>856</v>
      </c>
      <c r="N127" s="293" t="s">
        <v>859</v>
      </c>
      <c r="O127" s="294" t="s">
        <v>1386</v>
      </c>
      <c r="P127" s="297">
        <v>104690425</v>
      </c>
      <c r="Q127" s="297">
        <v>95098257925</v>
      </c>
    </row>
    <row r="128" spans="1:17" ht="18.75" x14ac:dyDescent="0.25">
      <c r="A128" s="289">
        <v>120</v>
      </c>
      <c r="B128" s="290">
        <v>73577</v>
      </c>
      <c r="C128" s="291" t="s">
        <v>1682</v>
      </c>
      <c r="D128" s="292">
        <v>1380</v>
      </c>
      <c r="E128" s="292">
        <v>0</v>
      </c>
      <c r="F128" s="292">
        <v>2000</v>
      </c>
      <c r="G128" s="292">
        <v>200</v>
      </c>
      <c r="H128" s="292" t="s">
        <v>484</v>
      </c>
      <c r="I128" s="292">
        <v>1762</v>
      </c>
      <c r="J128" s="292">
        <v>0</v>
      </c>
      <c r="K128" s="292" t="s">
        <v>431</v>
      </c>
      <c r="L128" s="292">
        <v>7</v>
      </c>
      <c r="M128" s="288" t="s">
        <v>860</v>
      </c>
      <c r="N128" s="293" t="s">
        <v>861</v>
      </c>
      <c r="O128" s="294" t="s">
        <v>1387</v>
      </c>
      <c r="P128" s="297">
        <v>66464021</v>
      </c>
      <c r="Q128" s="297">
        <v>61506183293</v>
      </c>
    </row>
    <row r="129" spans="1:17" ht="18.75" x14ac:dyDescent="0.25">
      <c r="A129" s="289">
        <v>121</v>
      </c>
      <c r="B129" s="290">
        <v>73569</v>
      </c>
      <c r="C129" s="291" t="s">
        <v>485</v>
      </c>
      <c r="D129" s="292">
        <v>0</v>
      </c>
      <c r="E129" s="292">
        <v>0</v>
      </c>
      <c r="F129" s="292">
        <v>1271</v>
      </c>
      <c r="G129" s="292">
        <v>120</v>
      </c>
      <c r="H129" s="292" t="s">
        <v>484</v>
      </c>
      <c r="I129" s="292">
        <v>689</v>
      </c>
      <c r="J129" s="292">
        <v>0</v>
      </c>
      <c r="K129" s="292" t="s">
        <v>431</v>
      </c>
      <c r="L129" s="292" t="s">
        <v>486</v>
      </c>
      <c r="M129" s="288" t="s">
        <v>862</v>
      </c>
      <c r="N129" s="293" t="s">
        <v>863</v>
      </c>
      <c r="O129" s="294" t="s">
        <v>1388</v>
      </c>
      <c r="P129" s="297">
        <v>81245566</v>
      </c>
      <c r="Q129" s="297">
        <v>681333708</v>
      </c>
    </row>
    <row r="130" spans="1:17" ht="18.75" x14ac:dyDescent="0.25">
      <c r="A130" s="289">
        <v>122</v>
      </c>
      <c r="B130" s="290">
        <v>551341</v>
      </c>
      <c r="C130" s="291" t="s">
        <v>485</v>
      </c>
      <c r="D130" s="292">
        <v>0</v>
      </c>
      <c r="E130" s="292">
        <v>0</v>
      </c>
      <c r="F130" s="292">
        <v>0</v>
      </c>
      <c r="G130" s="292">
        <v>0</v>
      </c>
      <c r="H130" s="292" t="s">
        <v>864</v>
      </c>
      <c r="I130" s="292">
        <v>0</v>
      </c>
      <c r="J130" s="292">
        <v>0</v>
      </c>
      <c r="K130" s="292" t="s">
        <v>865</v>
      </c>
      <c r="L130" s="292">
        <v>8</v>
      </c>
      <c r="M130" s="288" t="s">
        <v>866</v>
      </c>
      <c r="N130" s="293" t="s">
        <v>867</v>
      </c>
      <c r="O130" s="294" t="s">
        <v>1389</v>
      </c>
      <c r="P130" s="298" t="s">
        <v>1390</v>
      </c>
      <c r="Q130" s="298" t="s">
        <v>1391</v>
      </c>
    </row>
    <row r="131" spans="1:17" ht="18.75" x14ac:dyDescent="0.25">
      <c r="A131" s="289">
        <v>123</v>
      </c>
      <c r="B131" s="290">
        <v>747190</v>
      </c>
      <c r="C131" s="291" t="s">
        <v>1346</v>
      </c>
      <c r="D131" s="292">
        <v>13</v>
      </c>
      <c r="E131" s="292">
        <v>4</v>
      </c>
      <c r="F131" s="292">
        <v>0</v>
      </c>
      <c r="G131" s="292">
        <v>4</v>
      </c>
      <c r="H131" s="292" t="s">
        <v>484</v>
      </c>
      <c r="I131" s="292">
        <v>6</v>
      </c>
      <c r="J131" s="292">
        <v>0</v>
      </c>
      <c r="K131" s="292" t="s">
        <v>431</v>
      </c>
      <c r="L131" s="292">
        <v>7</v>
      </c>
      <c r="M131" s="288" t="s">
        <v>868</v>
      </c>
      <c r="N131" s="293" t="s">
        <v>869</v>
      </c>
      <c r="O131" s="294" t="s">
        <v>1392</v>
      </c>
      <c r="P131" s="297">
        <v>4270650769</v>
      </c>
      <c r="Q131" s="297">
        <v>3938429409231</v>
      </c>
    </row>
    <row r="132" spans="1:17" ht="18.75" x14ac:dyDescent="0.25">
      <c r="A132" s="289">
        <v>124</v>
      </c>
      <c r="B132" s="290">
        <v>747189</v>
      </c>
      <c r="C132" s="291" t="s">
        <v>1346</v>
      </c>
      <c r="D132" s="292">
        <v>11</v>
      </c>
      <c r="E132" s="292">
        <v>2</v>
      </c>
      <c r="F132" s="292">
        <v>0</v>
      </c>
      <c r="G132" s="292">
        <v>4</v>
      </c>
      <c r="H132" s="292" t="s">
        <v>484</v>
      </c>
      <c r="I132" s="292">
        <v>5</v>
      </c>
      <c r="J132" s="292">
        <v>0</v>
      </c>
      <c r="K132" s="292" t="s">
        <v>431</v>
      </c>
      <c r="L132" s="292">
        <v>7</v>
      </c>
      <c r="M132" s="288" t="s">
        <v>868</v>
      </c>
      <c r="N132" s="293" t="s">
        <v>870</v>
      </c>
      <c r="O132" s="294" t="s">
        <v>1393</v>
      </c>
      <c r="P132" s="297">
        <v>5369707273</v>
      </c>
      <c r="Q132" s="297">
        <v>4882904306364</v>
      </c>
    </row>
    <row r="133" spans="1:17" ht="18.75" x14ac:dyDescent="0.25">
      <c r="A133" s="289">
        <v>125</v>
      </c>
      <c r="B133" s="290">
        <v>686485</v>
      </c>
      <c r="C133" s="291" t="s">
        <v>1588</v>
      </c>
      <c r="D133" s="292">
        <v>13</v>
      </c>
      <c r="E133" s="292">
        <v>0</v>
      </c>
      <c r="F133" s="292">
        <v>0</v>
      </c>
      <c r="G133" s="292">
        <v>4</v>
      </c>
      <c r="H133" s="292" t="s">
        <v>484</v>
      </c>
      <c r="I133" s="292">
        <v>4</v>
      </c>
      <c r="J133" s="292">
        <v>0</v>
      </c>
      <c r="K133" s="292" t="s">
        <v>431</v>
      </c>
      <c r="L133" s="292">
        <v>8</v>
      </c>
      <c r="M133" s="288" t="s">
        <v>871</v>
      </c>
      <c r="N133" s="293" t="s">
        <v>670</v>
      </c>
      <c r="O133" s="294" t="s">
        <v>1394</v>
      </c>
      <c r="P133" s="297">
        <v>160924118</v>
      </c>
      <c r="Q133" s="297">
        <v>137999644706</v>
      </c>
    </row>
    <row r="134" spans="1:17" ht="18.75" x14ac:dyDescent="0.25">
      <c r="A134" s="289">
        <v>126</v>
      </c>
      <c r="B134" s="290">
        <v>166835</v>
      </c>
      <c r="C134" s="291" t="s">
        <v>811</v>
      </c>
      <c r="D134" s="292">
        <v>21</v>
      </c>
      <c r="E134" s="292">
        <v>11</v>
      </c>
      <c r="F134" s="292">
        <v>0</v>
      </c>
      <c r="G134" s="292">
        <v>8</v>
      </c>
      <c r="H134" s="292" t="s">
        <v>484</v>
      </c>
      <c r="I134" s="292">
        <v>9</v>
      </c>
      <c r="J134" s="292">
        <v>0</v>
      </c>
      <c r="K134" s="292" t="s">
        <v>431</v>
      </c>
      <c r="L134" s="292">
        <v>7</v>
      </c>
      <c r="M134" s="288" t="s">
        <v>815</v>
      </c>
      <c r="N134" s="293" t="s">
        <v>872</v>
      </c>
      <c r="O134" s="294" t="s">
        <v>1395</v>
      </c>
      <c r="P134" s="297">
        <v>4349524</v>
      </c>
      <c r="Q134" s="297">
        <v>3801182857</v>
      </c>
    </row>
    <row r="135" spans="1:17" ht="18.75" x14ac:dyDescent="0.25">
      <c r="A135" s="289">
        <v>127</v>
      </c>
      <c r="B135" s="290">
        <v>306779</v>
      </c>
      <c r="C135" s="291" t="s">
        <v>782</v>
      </c>
      <c r="D135" s="292">
        <v>5</v>
      </c>
      <c r="E135" s="292">
        <v>0</v>
      </c>
      <c r="F135" s="292">
        <v>15</v>
      </c>
      <c r="G135" s="292">
        <v>8</v>
      </c>
      <c r="H135" s="292" t="s">
        <v>484</v>
      </c>
      <c r="I135" s="292">
        <v>8</v>
      </c>
      <c r="J135" s="292">
        <v>0</v>
      </c>
      <c r="K135" s="292" t="s">
        <v>431</v>
      </c>
      <c r="L135" s="292">
        <v>7</v>
      </c>
      <c r="M135" s="288" t="s">
        <v>810</v>
      </c>
      <c r="N135" s="293" t="s">
        <v>674</v>
      </c>
      <c r="O135" s="294" t="s">
        <v>1396</v>
      </c>
      <c r="P135" s="297">
        <v>3172747778</v>
      </c>
      <c r="Q135" s="297">
        <v>2753849424444</v>
      </c>
    </row>
    <row r="136" spans="1:17" ht="18.75" x14ac:dyDescent="0.25">
      <c r="A136" s="289">
        <v>128</v>
      </c>
      <c r="B136" s="290">
        <v>321125</v>
      </c>
      <c r="C136" s="291" t="s">
        <v>1675</v>
      </c>
      <c r="D136" s="292">
        <v>28</v>
      </c>
      <c r="E136" s="292">
        <v>0</v>
      </c>
      <c r="F136" s="292">
        <v>8</v>
      </c>
      <c r="G136" s="292">
        <v>20</v>
      </c>
      <c r="H136" s="292" t="s">
        <v>484</v>
      </c>
      <c r="I136" s="292">
        <v>4</v>
      </c>
      <c r="J136" s="292">
        <v>0</v>
      </c>
      <c r="K136" s="292" t="s">
        <v>431</v>
      </c>
      <c r="L136" s="292">
        <v>7</v>
      </c>
      <c r="M136" s="288" t="s">
        <v>873</v>
      </c>
      <c r="N136" s="293" t="s">
        <v>1397</v>
      </c>
      <c r="O136" s="294" t="s">
        <v>1398</v>
      </c>
      <c r="P136" s="297">
        <v>2456343214</v>
      </c>
      <c r="Q136" s="297">
        <v>2072833715357</v>
      </c>
    </row>
    <row r="137" spans="1:17" ht="18.75" x14ac:dyDescent="0.25">
      <c r="A137" s="289">
        <v>129</v>
      </c>
      <c r="B137" s="290">
        <v>275123</v>
      </c>
      <c r="C137" s="291" t="s">
        <v>1275</v>
      </c>
      <c r="D137" s="292">
        <v>11</v>
      </c>
      <c r="E137" s="292">
        <v>0</v>
      </c>
      <c r="F137" s="292">
        <v>0</v>
      </c>
      <c r="G137" s="292">
        <v>6</v>
      </c>
      <c r="H137" s="292" t="s">
        <v>484</v>
      </c>
      <c r="I137" s="292">
        <v>4</v>
      </c>
      <c r="J137" s="292">
        <v>0</v>
      </c>
      <c r="K137" s="292" t="s">
        <v>431</v>
      </c>
      <c r="L137" s="292">
        <v>7</v>
      </c>
      <c r="M137" s="288" t="s">
        <v>874</v>
      </c>
      <c r="N137" s="293" t="s">
        <v>678</v>
      </c>
      <c r="O137" s="294" t="s">
        <v>1399</v>
      </c>
      <c r="P137" s="297">
        <v>706246</v>
      </c>
      <c r="Q137" s="297">
        <v>621553197333</v>
      </c>
    </row>
    <row r="138" spans="1:17" ht="18.75" x14ac:dyDescent="0.25">
      <c r="A138" s="289">
        <v>130</v>
      </c>
      <c r="B138" s="290">
        <v>469684</v>
      </c>
      <c r="C138" s="291" t="s">
        <v>1708</v>
      </c>
      <c r="D138" s="292">
        <v>19</v>
      </c>
      <c r="E138" s="292">
        <v>0</v>
      </c>
      <c r="F138" s="292">
        <v>0</v>
      </c>
      <c r="G138" s="292">
        <v>8</v>
      </c>
      <c r="H138" s="292" t="s">
        <v>484</v>
      </c>
      <c r="I138" s="292">
        <v>6</v>
      </c>
      <c r="J138" s="292">
        <v>0</v>
      </c>
      <c r="K138" s="292" t="s">
        <v>431</v>
      </c>
      <c r="L138" s="292">
        <v>7</v>
      </c>
      <c r="M138" s="288" t="s">
        <v>875</v>
      </c>
      <c r="N138" s="293" t="s">
        <v>680</v>
      </c>
      <c r="O138" s="294" t="s">
        <v>1400</v>
      </c>
      <c r="P138" s="297">
        <v>413142083</v>
      </c>
      <c r="Q138" s="297">
        <v>39046134375</v>
      </c>
    </row>
    <row r="139" spans="1:17" ht="18.75" x14ac:dyDescent="0.25">
      <c r="A139" s="289">
        <v>131</v>
      </c>
      <c r="B139" s="290">
        <v>271023</v>
      </c>
      <c r="C139" s="291" t="s">
        <v>811</v>
      </c>
      <c r="D139" s="292">
        <v>12</v>
      </c>
      <c r="E139" s="292">
        <v>2</v>
      </c>
      <c r="F139" s="292">
        <v>0</v>
      </c>
      <c r="G139" s="292">
        <v>8</v>
      </c>
      <c r="H139" s="292" t="s">
        <v>484</v>
      </c>
      <c r="I139" s="292">
        <v>4</v>
      </c>
      <c r="J139" s="292">
        <v>0</v>
      </c>
      <c r="K139" s="292" t="s">
        <v>431</v>
      </c>
      <c r="L139" s="292">
        <v>7</v>
      </c>
      <c r="M139" s="288" t="s">
        <v>810</v>
      </c>
      <c r="N139" s="293" t="s">
        <v>876</v>
      </c>
      <c r="O139" s="294" t="s">
        <v>1401</v>
      </c>
      <c r="P139" s="297">
        <v>563191667</v>
      </c>
      <c r="Q139" s="297">
        <v>512574781667</v>
      </c>
    </row>
    <row r="140" spans="1:17" ht="18.75" x14ac:dyDescent="0.25">
      <c r="A140" s="289">
        <v>132</v>
      </c>
      <c r="B140" s="290">
        <v>394213</v>
      </c>
      <c r="C140" s="291" t="s">
        <v>1709</v>
      </c>
      <c r="D140" s="292">
        <v>237</v>
      </c>
      <c r="E140" s="292">
        <v>0</v>
      </c>
      <c r="F140" s="292">
        <v>103</v>
      </c>
      <c r="G140" s="292">
        <v>80</v>
      </c>
      <c r="H140" s="292" t="s">
        <v>484</v>
      </c>
      <c r="I140" s="292">
        <v>200</v>
      </c>
      <c r="J140" s="292">
        <v>0</v>
      </c>
      <c r="K140" s="292" t="s">
        <v>431</v>
      </c>
      <c r="L140" s="292" t="s">
        <v>486</v>
      </c>
      <c r="M140" s="288" t="s">
        <v>877</v>
      </c>
      <c r="N140" s="293" t="s">
        <v>878</v>
      </c>
      <c r="O140" s="294" t="s">
        <v>1402</v>
      </c>
      <c r="P140" s="297">
        <v>38804385</v>
      </c>
      <c r="Q140" s="297">
        <v>36600928991</v>
      </c>
    </row>
    <row r="141" spans="1:17" ht="18.75" x14ac:dyDescent="0.25">
      <c r="A141" s="289">
        <v>133</v>
      </c>
      <c r="B141" s="290">
        <v>271015</v>
      </c>
      <c r="C141" s="291" t="s">
        <v>1667</v>
      </c>
      <c r="D141" s="292">
        <v>24</v>
      </c>
      <c r="E141" s="292">
        <v>0</v>
      </c>
      <c r="F141" s="292">
        <v>0</v>
      </c>
      <c r="G141" s="292">
        <v>12</v>
      </c>
      <c r="H141" s="292" t="s">
        <v>484</v>
      </c>
      <c r="I141" s="292">
        <v>8</v>
      </c>
      <c r="J141" s="292">
        <v>0</v>
      </c>
      <c r="K141" s="292" t="s">
        <v>431</v>
      </c>
      <c r="L141" s="292">
        <v>7</v>
      </c>
      <c r="M141" s="288" t="s">
        <v>879</v>
      </c>
      <c r="N141" s="293" t="s">
        <v>880</v>
      </c>
      <c r="O141" s="294" t="s">
        <v>1403</v>
      </c>
      <c r="P141" s="297">
        <v>161610357</v>
      </c>
      <c r="Q141" s="297" t="s">
        <v>1627</v>
      </c>
    </row>
    <row r="142" spans="1:17" ht="18.75" x14ac:dyDescent="0.25">
      <c r="A142" s="289">
        <v>134</v>
      </c>
      <c r="B142" s="290">
        <v>355115</v>
      </c>
      <c r="C142" s="291" t="s">
        <v>782</v>
      </c>
      <c r="D142" s="292">
        <v>5</v>
      </c>
      <c r="E142" s="292">
        <v>0</v>
      </c>
      <c r="F142" s="292">
        <v>5</v>
      </c>
      <c r="G142" s="292">
        <v>6</v>
      </c>
      <c r="H142" s="292" t="s">
        <v>484</v>
      </c>
      <c r="I142" s="292">
        <v>4</v>
      </c>
      <c r="J142" s="292">
        <v>0</v>
      </c>
      <c r="K142" s="292" t="s">
        <v>431</v>
      </c>
      <c r="L142" s="292">
        <v>7</v>
      </c>
      <c r="M142" s="288" t="s">
        <v>881</v>
      </c>
      <c r="N142" s="293" t="s">
        <v>686</v>
      </c>
      <c r="O142" s="294" t="s">
        <v>1404</v>
      </c>
      <c r="P142" s="297">
        <v>379634444</v>
      </c>
      <c r="Q142" s="297">
        <v>335491123333</v>
      </c>
    </row>
    <row r="143" spans="1:17" ht="30" x14ac:dyDescent="0.25">
      <c r="A143" s="289">
        <v>135</v>
      </c>
      <c r="B143" s="290">
        <v>394601</v>
      </c>
      <c r="C143" s="291" t="s">
        <v>503</v>
      </c>
      <c r="D143" s="292">
        <v>16</v>
      </c>
      <c r="E143" s="292">
        <v>0</v>
      </c>
      <c r="F143" s="292">
        <v>0</v>
      </c>
      <c r="G143" s="292">
        <v>0</v>
      </c>
      <c r="H143" s="292" t="s">
        <v>484</v>
      </c>
      <c r="I143" s="292">
        <v>12</v>
      </c>
      <c r="J143" s="292">
        <v>0</v>
      </c>
      <c r="K143" s="292" t="s">
        <v>431</v>
      </c>
      <c r="L143" s="292">
        <v>7</v>
      </c>
      <c r="M143" s="288" t="s">
        <v>882</v>
      </c>
      <c r="N143" s="293" t="s">
        <v>1589</v>
      </c>
      <c r="O143" s="294" t="s">
        <v>1590</v>
      </c>
      <c r="P143" s="297">
        <v>30659375</v>
      </c>
      <c r="Q143" s="297">
        <v>27942</v>
      </c>
    </row>
    <row r="144" spans="1:17" ht="18.75" x14ac:dyDescent="0.25">
      <c r="A144" s="289">
        <v>136</v>
      </c>
      <c r="B144" s="290">
        <v>175190</v>
      </c>
      <c r="C144" s="291" t="s">
        <v>518</v>
      </c>
      <c r="D144" s="292">
        <v>6</v>
      </c>
      <c r="E144" s="292">
        <v>0</v>
      </c>
      <c r="F144" s="292">
        <v>10</v>
      </c>
      <c r="G144" s="292">
        <v>8</v>
      </c>
      <c r="H144" s="292" t="s">
        <v>484</v>
      </c>
      <c r="I144" s="292">
        <v>6</v>
      </c>
      <c r="J144" s="292">
        <v>0</v>
      </c>
      <c r="K144" s="292" t="s">
        <v>431</v>
      </c>
      <c r="L144" s="292">
        <v>7</v>
      </c>
      <c r="M144" s="288" t="s">
        <v>807</v>
      </c>
      <c r="N144" s="293" t="s">
        <v>690</v>
      </c>
      <c r="O144" s="294" t="s">
        <v>1405</v>
      </c>
      <c r="P144" s="297">
        <v>1010746429</v>
      </c>
      <c r="Q144" s="297">
        <v>852321868571</v>
      </c>
    </row>
    <row r="145" spans="1:17" ht="18.75" x14ac:dyDescent="0.25">
      <c r="A145" s="289">
        <v>137</v>
      </c>
      <c r="B145" s="290">
        <v>175208</v>
      </c>
      <c r="C145" s="291" t="s">
        <v>485</v>
      </c>
      <c r="D145" s="292">
        <v>4</v>
      </c>
      <c r="E145" s="292">
        <v>4</v>
      </c>
      <c r="F145" s="292">
        <v>6</v>
      </c>
      <c r="G145" s="292">
        <v>2</v>
      </c>
      <c r="H145" s="292" t="s">
        <v>484</v>
      </c>
      <c r="I145" s="292">
        <v>6</v>
      </c>
      <c r="J145" s="292">
        <v>0</v>
      </c>
      <c r="K145" s="292" t="s">
        <v>431</v>
      </c>
      <c r="L145" s="292">
        <v>7</v>
      </c>
      <c r="M145" s="288" t="s">
        <v>813</v>
      </c>
      <c r="N145" s="293" t="s">
        <v>693</v>
      </c>
      <c r="O145" s="294" t="s">
        <v>1406</v>
      </c>
      <c r="P145" s="297">
        <v>310205</v>
      </c>
      <c r="Q145" s="297">
        <v>290086168333</v>
      </c>
    </row>
    <row r="146" spans="1:17" ht="18.75" x14ac:dyDescent="0.25">
      <c r="A146" s="289">
        <v>138</v>
      </c>
      <c r="B146" s="290">
        <v>73676</v>
      </c>
      <c r="C146" s="291" t="s">
        <v>519</v>
      </c>
      <c r="D146" s="292">
        <v>2</v>
      </c>
      <c r="E146" s="292">
        <v>0</v>
      </c>
      <c r="F146" s="292">
        <v>19</v>
      </c>
      <c r="G146" s="292">
        <v>5</v>
      </c>
      <c r="H146" s="292" t="s">
        <v>484</v>
      </c>
      <c r="I146" s="292">
        <v>4</v>
      </c>
      <c r="J146" s="292">
        <v>0</v>
      </c>
      <c r="K146" s="292" t="s">
        <v>431</v>
      </c>
      <c r="L146" s="292">
        <v>7</v>
      </c>
      <c r="M146" s="288" t="s">
        <v>820</v>
      </c>
      <c r="N146" s="293" t="s">
        <v>695</v>
      </c>
      <c r="O146" s="294" t="s">
        <v>1352</v>
      </c>
      <c r="P146" s="297">
        <v>58928134</v>
      </c>
      <c r="Q146" s="297">
        <v>49107740584</v>
      </c>
    </row>
    <row r="147" spans="1:17" ht="18.75" x14ac:dyDescent="0.25">
      <c r="A147" s="289">
        <v>139</v>
      </c>
      <c r="B147" s="290">
        <v>358580</v>
      </c>
      <c r="C147" s="291" t="s">
        <v>774</v>
      </c>
      <c r="D147" s="292">
        <v>7</v>
      </c>
      <c r="E147" s="292">
        <v>0</v>
      </c>
      <c r="F147" s="292">
        <v>2</v>
      </c>
      <c r="G147" s="292">
        <v>6</v>
      </c>
      <c r="H147" s="292" t="s">
        <v>484</v>
      </c>
      <c r="I147" s="292">
        <v>2</v>
      </c>
      <c r="J147" s="292">
        <v>0</v>
      </c>
      <c r="K147" s="292" t="s">
        <v>431</v>
      </c>
      <c r="L147" s="292">
        <v>7</v>
      </c>
      <c r="M147" s="288" t="s">
        <v>810</v>
      </c>
      <c r="N147" s="293" t="s">
        <v>697</v>
      </c>
      <c r="O147" s="294" t="s">
        <v>1407</v>
      </c>
      <c r="P147" s="297">
        <v>1410804</v>
      </c>
      <c r="Q147" s="297" t="s">
        <v>1683</v>
      </c>
    </row>
    <row r="148" spans="1:17" ht="18.75" x14ac:dyDescent="0.25">
      <c r="A148" s="289">
        <v>140</v>
      </c>
      <c r="B148" s="290">
        <v>358572</v>
      </c>
      <c r="C148" s="291" t="s">
        <v>774</v>
      </c>
      <c r="D148" s="292">
        <v>7</v>
      </c>
      <c r="E148" s="292">
        <v>0</v>
      </c>
      <c r="F148" s="292">
        <v>2</v>
      </c>
      <c r="G148" s="292">
        <v>6</v>
      </c>
      <c r="H148" s="292" t="s">
        <v>484</v>
      </c>
      <c r="I148" s="292">
        <v>2</v>
      </c>
      <c r="J148" s="292">
        <v>0</v>
      </c>
      <c r="K148" s="292" t="s">
        <v>431</v>
      </c>
      <c r="L148" s="292">
        <v>7</v>
      </c>
      <c r="M148" s="288" t="s">
        <v>883</v>
      </c>
      <c r="N148" s="293" t="s">
        <v>699</v>
      </c>
      <c r="O148" s="294" t="s">
        <v>1408</v>
      </c>
      <c r="P148" s="297">
        <v>2188315</v>
      </c>
      <c r="Q148" s="297">
        <v>1925896502</v>
      </c>
    </row>
    <row r="149" spans="1:17" ht="18.75" x14ac:dyDescent="0.25">
      <c r="A149" s="289">
        <v>141</v>
      </c>
      <c r="B149" s="290">
        <v>88930</v>
      </c>
      <c r="C149" s="291" t="s">
        <v>1710</v>
      </c>
      <c r="D149" s="292">
        <v>1954</v>
      </c>
      <c r="E149" s="292">
        <v>0</v>
      </c>
      <c r="F149" s="292">
        <v>766</v>
      </c>
      <c r="G149" s="292">
        <v>800</v>
      </c>
      <c r="H149" s="292" t="s">
        <v>484</v>
      </c>
      <c r="I149" s="292">
        <v>2042</v>
      </c>
      <c r="J149" s="292">
        <v>0</v>
      </c>
      <c r="K149" s="292" t="s">
        <v>431</v>
      </c>
      <c r="L149" s="292">
        <v>7</v>
      </c>
      <c r="M149" s="288" t="s">
        <v>701</v>
      </c>
      <c r="N149" s="293" t="s">
        <v>701</v>
      </c>
      <c r="O149" s="294" t="s">
        <v>1409</v>
      </c>
      <c r="P149" s="297">
        <v>120355676</v>
      </c>
      <c r="Q149" s="297">
        <v>105954352652</v>
      </c>
    </row>
    <row r="150" spans="1:17" ht="18.75" x14ac:dyDescent="0.25">
      <c r="A150" s="289">
        <v>142</v>
      </c>
      <c r="B150" s="290">
        <v>73635</v>
      </c>
      <c r="C150" s="291" t="s">
        <v>1675</v>
      </c>
      <c r="D150" s="292">
        <v>28</v>
      </c>
      <c r="E150" s="292">
        <v>0</v>
      </c>
      <c r="F150" s="292">
        <v>0</v>
      </c>
      <c r="G150" s="292">
        <v>12</v>
      </c>
      <c r="H150" s="292" t="s">
        <v>484</v>
      </c>
      <c r="I150" s="292">
        <v>8</v>
      </c>
      <c r="J150" s="292">
        <v>0</v>
      </c>
      <c r="K150" s="292" t="s">
        <v>431</v>
      </c>
      <c r="L150" s="292">
        <v>7</v>
      </c>
      <c r="M150" s="288" t="s">
        <v>873</v>
      </c>
      <c r="N150" s="293" t="s">
        <v>884</v>
      </c>
      <c r="O150" s="294" t="s">
        <v>1410</v>
      </c>
      <c r="P150" s="297">
        <v>7493125</v>
      </c>
      <c r="Q150" s="297">
        <v>686999194375</v>
      </c>
    </row>
    <row r="151" spans="1:17" ht="18.75" x14ac:dyDescent="0.25">
      <c r="A151" s="289">
        <v>143</v>
      </c>
      <c r="B151" s="290">
        <v>88823</v>
      </c>
      <c r="C151" s="291" t="s">
        <v>772</v>
      </c>
      <c r="D151" s="292">
        <v>1</v>
      </c>
      <c r="E151" s="292">
        <v>0</v>
      </c>
      <c r="F151" s="292">
        <v>7</v>
      </c>
      <c r="G151" s="292">
        <v>0</v>
      </c>
      <c r="H151" s="292" t="s">
        <v>484</v>
      </c>
      <c r="I151" s="292">
        <v>4</v>
      </c>
      <c r="J151" s="292">
        <v>0</v>
      </c>
      <c r="K151" s="292" t="s">
        <v>431</v>
      </c>
      <c r="L151" s="292">
        <v>7</v>
      </c>
      <c r="M151" s="288" t="s">
        <v>885</v>
      </c>
      <c r="N151" s="293" t="s">
        <v>886</v>
      </c>
      <c r="O151" s="294" t="s">
        <v>1411</v>
      </c>
      <c r="P151" s="297">
        <v>4355898</v>
      </c>
      <c r="Q151" s="298">
        <v>3697547</v>
      </c>
    </row>
    <row r="152" spans="1:17" ht="18.75" x14ac:dyDescent="0.25">
      <c r="A152" s="289">
        <v>144</v>
      </c>
      <c r="B152" s="290">
        <v>394619</v>
      </c>
      <c r="C152" s="291" t="s">
        <v>510</v>
      </c>
      <c r="D152" s="292">
        <v>18</v>
      </c>
      <c r="E152" s="292">
        <v>0</v>
      </c>
      <c r="F152" s="292">
        <v>0</v>
      </c>
      <c r="G152" s="292">
        <v>0</v>
      </c>
      <c r="H152" s="292" t="s">
        <v>484</v>
      </c>
      <c r="I152" s="292">
        <v>0</v>
      </c>
      <c r="J152" s="292">
        <v>0</v>
      </c>
      <c r="K152" s="292">
        <v>5</v>
      </c>
      <c r="L152" s="292">
        <v>7</v>
      </c>
      <c r="M152" s="288" t="s">
        <v>856</v>
      </c>
      <c r="N152" s="293" t="s">
        <v>887</v>
      </c>
      <c r="O152" s="294" t="s">
        <v>1412</v>
      </c>
      <c r="P152" s="297">
        <v>63768333</v>
      </c>
      <c r="Q152" s="297">
        <v>43043919167</v>
      </c>
    </row>
    <row r="153" spans="1:17" ht="18.75" x14ac:dyDescent="0.25">
      <c r="A153" s="289">
        <v>145</v>
      </c>
      <c r="B153" s="290">
        <v>560391</v>
      </c>
      <c r="C153" s="291" t="s">
        <v>485</v>
      </c>
      <c r="D153" s="292">
        <v>0</v>
      </c>
      <c r="E153" s="292">
        <v>0</v>
      </c>
      <c r="F153" s="292">
        <v>0</v>
      </c>
      <c r="G153" s="292">
        <v>0</v>
      </c>
      <c r="H153" s="292" t="s">
        <v>487</v>
      </c>
      <c r="I153" s="292">
        <v>381</v>
      </c>
      <c r="J153" s="292">
        <v>0</v>
      </c>
      <c r="K153" s="292" t="s">
        <v>431</v>
      </c>
      <c r="L153" s="292" t="s">
        <v>486</v>
      </c>
      <c r="M153" s="288" t="s">
        <v>888</v>
      </c>
      <c r="N153" s="293" t="s">
        <v>889</v>
      </c>
      <c r="O153" s="294" t="s">
        <v>1413</v>
      </c>
      <c r="P153" s="297">
        <v>2568584</v>
      </c>
      <c r="Q153" s="298">
        <v>218530</v>
      </c>
    </row>
    <row r="154" spans="1:17" ht="18.75" x14ac:dyDescent="0.25">
      <c r="A154" s="289">
        <v>146</v>
      </c>
      <c r="B154" s="290">
        <v>88849</v>
      </c>
      <c r="C154" s="291" t="s">
        <v>1711</v>
      </c>
      <c r="D154" s="292">
        <v>1770</v>
      </c>
      <c r="E154" s="292">
        <v>0</v>
      </c>
      <c r="F154" s="292">
        <v>0</v>
      </c>
      <c r="G154" s="292">
        <v>400</v>
      </c>
      <c r="H154" s="292" t="s">
        <v>484</v>
      </c>
      <c r="I154" s="292">
        <v>1177</v>
      </c>
      <c r="J154" s="292">
        <v>0</v>
      </c>
      <c r="K154" s="292" t="s">
        <v>431</v>
      </c>
      <c r="L154" s="292">
        <v>7</v>
      </c>
      <c r="M154" s="288" t="s">
        <v>710</v>
      </c>
      <c r="N154" s="293" t="s">
        <v>710</v>
      </c>
      <c r="O154" s="294" t="s">
        <v>1414</v>
      </c>
      <c r="P154" s="297">
        <v>3384396</v>
      </c>
      <c r="Q154" s="297">
        <v>3178674502</v>
      </c>
    </row>
    <row r="155" spans="1:17" ht="18.75" x14ac:dyDescent="0.25">
      <c r="A155" s="289">
        <v>147</v>
      </c>
      <c r="B155" s="290">
        <v>73700</v>
      </c>
      <c r="C155" s="291" t="s">
        <v>519</v>
      </c>
      <c r="D155" s="292">
        <v>2</v>
      </c>
      <c r="E155" s="292">
        <v>0</v>
      </c>
      <c r="F155" s="292">
        <v>1</v>
      </c>
      <c r="G155" s="292">
        <v>0</v>
      </c>
      <c r="H155" s="292" t="s">
        <v>484</v>
      </c>
      <c r="I155" s="292">
        <v>0</v>
      </c>
      <c r="J155" s="292">
        <v>0</v>
      </c>
      <c r="K155" s="292" t="s">
        <v>431</v>
      </c>
      <c r="L155" s="292">
        <v>7</v>
      </c>
      <c r="M155" s="288" t="s">
        <v>1219</v>
      </c>
      <c r="N155" s="293" t="s">
        <v>1218</v>
      </c>
      <c r="O155" s="294" t="s">
        <v>1415</v>
      </c>
      <c r="P155" s="298" t="s">
        <v>1684</v>
      </c>
      <c r="Q155" s="298" t="s">
        <v>1591</v>
      </c>
    </row>
    <row r="156" spans="1:17" ht="18.75" x14ac:dyDescent="0.25">
      <c r="A156" s="289">
        <v>148</v>
      </c>
      <c r="B156" s="290">
        <v>73718</v>
      </c>
      <c r="C156" s="291"/>
      <c r="D156" s="292"/>
      <c r="E156" s="292"/>
      <c r="F156" s="292"/>
      <c r="G156" s="292"/>
      <c r="H156" s="292"/>
      <c r="I156" s="292"/>
      <c r="J156" s="292"/>
      <c r="K156" s="292"/>
      <c r="L156" s="292"/>
      <c r="M156" s="288" t="s">
        <v>1416</v>
      </c>
      <c r="N156" s="293" t="s">
        <v>1417</v>
      </c>
      <c r="O156" s="294" t="s">
        <v>1416</v>
      </c>
      <c r="P156" s="298"/>
      <c r="Q156" s="298"/>
    </row>
    <row r="157" spans="1:17" ht="18.75" x14ac:dyDescent="0.25">
      <c r="A157" s="289">
        <v>149</v>
      </c>
      <c r="B157" s="290">
        <v>16584</v>
      </c>
      <c r="C157" s="291" t="s">
        <v>518</v>
      </c>
      <c r="D157" s="292">
        <v>6</v>
      </c>
      <c r="E157" s="292">
        <v>0</v>
      </c>
      <c r="F157" s="292">
        <v>0</v>
      </c>
      <c r="G157" s="292">
        <v>0</v>
      </c>
      <c r="H157" s="292" t="s">
        <v>484</v>
      </c>
      <c r="I157" s="292">
        <v>6</v>
      </c>
      <c r="J157" s="292">
        <v>0</v>
      </c>
      <c r="K157" s="292" t="s">
        <v>431</v>
      </c>
      <c r="L157" s="292" t="s">
        <v>486</v>
      </c>
      <c r="M157" s="288" t="s">
        <v>891</v>
      </c>
      <c r="N157" s="293" t="s">
        <v>1220</v>
      </c>
      <c r="O157" s="294" t="s">
        <v>1418</v>
      </c>
      <c r="P157" s="297">
        <v>115321333</v>
      </c>
      <c r="Q157" s="297">
        <v>107074889333</v>
      </c>
    </row>
    <row r="158" spans="1:17" ht="18.75" x14ac:dyDescent="0.25">
      <c r="A158" s="289">
        <v>150</v>
      </c>
      <c r="B158" s="290">
        <v>395343</v>
      </c>
      <c r="C158" s="291" t="s">
        <v>485</v>
      </c>
      <c r="D158" s="292">
        <v>0</v>
      </c>
      <c r="E158" s="292">
        <v>0</v>
      </c>
      <c r="F158" s="292">
        <v>0</v>
      </c>
      <c r="G158" s="292">
        <v>0</v>
      </c>
      <c r="H158" s="292" t="s">
        <v>484</v>
      </c>
      <c r="I158" s="292">
        <v>0</v>
      </c>
      <c r="J158" s="292">
        <v>0</v>
      </c>
      <c r="K158" s="292" t="s">
        <v>833</v>
      </c>
      <c r="L158" s="292">
        <v>7</v>
      </c>
      <c r="M158" s="288" t="s">
        <v>1221</v>
      </c>
      <c r="N158" s="293" t="s">
        <v>1567</v>
      </c>
      <c r="O158" s="294" t="s">
        <v>1568</v>
      </c>
      <c r="P158" s="298">
        <v>415</v>
      </c>
      <c r="Q158" s="298" t="s">
        <v>1419</v>
      </c>
    </row>
    <row r="159" spans="1:17" ht="18.75" x14ac:dyDescent="0.25">
      <c r="A159" s="289">
        <v>151</v>
      </c>
      <c r="B159" s="290">
        <v>395350</v>
      </c>
      <c r="C159" s="291" t="s">
        <v>485</v>
      </c>
      <c r="D159" s="292">
        <v>0</v>
      </c>
      <c r="E159" s="292">
        <v>0</v>
      </c>
      <c r="F159" s="292">
        <v>0</v>
      </c>
      <c r="G159" s="292">
        <v>0</v>
      </c>
      <c r="H159" s="292" t="s">
        <v>484</v>
      </c>
      <c r="I159" s="292">
        <v>0</v>
      </c>
      <c r="J159" s="292">
        <v>0</v>
      </c>
      <c r="K159" s="292" t="s">
        <v>833</v>
      </c>
      <c r="L159" s="292">
        <v>7</v>
      </c>
      <c r="M159" s="288" t="s">
        <v>1221</v>
      </c>
      <c r="N159" s="293" t="s">
        <v>1567</v>
      </c>
      <c r="O159" s="294" t="s">
        <v>1568</v>
      </c>
      <c r="P159" s="298">
        <v>415</v>
      </c>
      <c r="Q159" s="298" t="s">
        <v>1419</v>
      </c>
    </row>
    <row r="160" spans="1:17" ht="18.75" x14ac:dyDescent="0.25">
      <c r="A160" s="289">
        <v>152</v>
      </c>
      <c r="B160" s="290">
        <v>395368</v>
      </c>
      <c r="C160" s="291" t="s">
        <v>485</v>
      </c>
      <c r="D160" s="292">
        <v>0</v>
      </c>
      <c r="E160" s="292">
        <v>0</v>
      </c>
      <c r="F160" s="292">
        <v>0</v>
      </c>
      <c r="G160" s="292">
        <v>0</v>
      </c>
      <c r="H160" s="292" t="s">
        <v>484</v>
      </c>
      <c r="I160" s="292">
        <v>0</v>
      </c>
      <c r="J160" s="292">
        <v>0</v>
      </c>
      <c r="K160" s="292" t="s">
        <v>833</v>
      </c>
      <c r="L160" s="292">
        <v>7</v>
      </c>
      <c r="M160" s="288" t="s">
        <v>1221</v>
      </c>
      <c r="N160" s="293" t="s">
        <v>1569</v>
      </c>
      <c r="O160" s="294" t="s">
        <v>1570</v>
      </c>
      <c r="P160" s="298">
        <v>57</v>
      </c>
      <c r="Q160" s="298" t="s">
        <v>1420</v>
      </c>
    </row>
    <row r="161" spans="1:17" ht="18.75" x14ac:dyDescent="0.25">
      <c r="A161" s="289">
        <v>153</v>
      </c>
      <c r="B161" s="290">
        <v>395376</v>
      </c>
      <c r="C161" s="291" t="s">
        <v>485</v>
      </c>
      <c r="D161" s="292">
        <v>0</v>
      </c>
      <c r="E161" s="292">
        <v>0</v>
      </c>
      <c r="F161" s="292">
        <v>0</v>
      </c>
      <c r="G161" s="292">
        <v>0</v>
      </c>
      <c r="H161" s="292" t="s">
        <v>484</v>
      </c>
      <c r="I161" s="292">
        <v>0</v>
      </c>
      <c r="J161" s="292">
        <v>0</v>
      </c>
      <c r="K161" s="292" t="s">
        <v>833</v>
      </c>
      <c r="L161" s="292">
        <v>7</v>
      </c>
      <c r="M161" s="288" t="s">
        <v>1221</v>
      </c>
      <c r="N161" s="293" t="s">
        <v>1569</v>
      </c>
      <c r="O161" s="294" t="s">
        <v>1570</v>
      </c>
      <c r="P161" s="298">
        <v>57</v>
      </c>
      <c r="Q161" s="298" t="s">
        <v>1420</v>
      </c>
    </row>
    <row r="162" spans="1:17" ht="18.75" x14ac:dyDescent="0.25">
      <c r="A162" s="289">
        <v>154</v>
      </c>
      <c r="B162" s="290">
        <v>395384</v>
      </c>
      <c r="C162" s="291" t="s">
        <v>485</v>
      </c>
      <c r="D162" s="292">
        <v>0</v>
      </c>
      <c r="E162" s="292">
        <v>0</v>
      </c>
      <c r="F162" s="292">
        <v>0</v>
      </c>
      <c r="G162" s="292">
        <v>0</v>
      </c>
      <c r="H162" s="292" t="s">
        <v>484</v>
      </c>
      <c r="I162" s="292">
        <v>0</v>
      </c>
      <c r="J162" s="292">
        <v>0</v>
      </c>
      <c r="K162" s="292" t="s">
        <v>833</v>
      </c>
      <c r="L162" s="292">
        <v>7</v>
      </c>
      <c r="M162" s="288" t="s">
        <v>1221</v>
      </c>
      <c r="N162" s="293" t="s">
        <v>1569</v>
      </c>
      <c r="O162" s="294" t="s">
        <v>1570</v>
      </c>
      <c r="P162" s="298">
        <v>57</v>
      </c>
      <c r="Q162" s="298" t="s">
        <v>1420</v>
      </c>
    </row>
    <row r="163" spans="1:17" ht="18.75" x14ac:dyDescent="0.25">
      <c r="A163" s="289">
        <v>155</v>
      </c>
      <c r="B163" s="290">
        <v>128603</v>
      </c>
      <c r="C163" s="291" t="s">
        <v>772</v>
      </c>
      <c r="D163" s="292">
        <v>1</v>
      </c>
      <c r="E163" s="292">
        <v>0</v>
      </c>
      <c r="F163" s="292">
        <v>0</v>
      </c>
      <c r="G163" s="292">
        <v>0</v>
      </c>
      <c r="H163" s="292" t="s">
        <v>484</v>
      </c>
      <c r="I163" s="292">
        <v>0</v>
      </c>
      <c r="J163" s="292">
        <v>0</v>
      </c>
      <c r="K163" s="292" t="s">
        <v>833</v>
      </c>
      <c r="L163" s="292">
        <v>7</v>
      </c>
      <c r="M163" s="288" t="s">
        <v>788</v>
      </c>
      <c r="N163" s="293" t="s">
        <v>1269</v>
      </c>
      <c r="O163" s="294" t="s">
        <v>1421</v>
      </c>
      <c r="P163" s="297" t="s">
        <v>1628</v>
      </c>
      <c r="Q163" s="298">
        <v>25500</v>
      </c>
    </row>
    <row r="164" spans="1:17" ht="18.75" x14ac:dyDescent="0.25">
      <c r="A164" s="289">
        <v>156</v>
      </c>
      <c r="B164" s="290">
        <v>55442</v>
      </c>
      <c r="C164" s="291" t="s">
        <v>519</v>
      </c>
      <c r="D164" s="292">
        <v>6</v>
      </c>
      <c r="E164" s="292">
        <v>4</v>
      </c>
      <c r="F164" s="292">
        <v>0</v>
      </c>
      <c r="G164" s="292">
        <v>0</v>
      </c>
      <c r="H164" s="292" t="s">
        <v>484</v>
      </c>
      <c r="I164" s="292">
        <v>2</v>
      </c>
      <c r="J164" s="292">
        <v>0</v>
      </c>
      <c r="K164" s="292" t="s">
        <v>431</v>
      </c>
      <c r="L164" s="292">
        <v>7</v>
      </c>
      <c r="M164" s="288" t="s">
        <v>891</v>
      </c>
      <c r="N164" s="293" t="s">
        <v>423</v>
      </c>
      <c r="O164" s="294" t="s">
        <v>1629</v>
      </c>
      <c r="P164" s="297">
        <v>230066667</v>
      </c>
      <c r="Q164" s="297">
        <v>209044033333</v>
      </c>
    </row>
    <row r="165" spans="1:17" ht="18.75" x14ac:dyDescent="0.25">
      <c r="A165" s="289">
        <v>157</v>
      </c>
      <c r="B165" s="290">
        <v>166801</v>
      </c>
      <c r="C165" s="291" t="s">
        <v>509</v>
      </c>
      <c r="D165" s="292">
        <v>34</v>
      </c>
      <c r="E165" s="292">
        <v>26</v>
      </c>
      <c r="F165" s="292">
        <v>0</v>
      </c>
      <c r="G165" s="292">
        <v>0</v>
      </c>
      <c r="H165" s="292" t="s">
        <v>484</v>
      </c>
      <c r="I165" s="292">
        <v>30</v>
      </c>
      <c r="J165" s="292">
        <v>0</v>
      </c>
      <c r="K165" s="292" t="s">
        <v>431</v>
      </c>
      <c r="L165" s="292" t="s">
        <v>486</v>
      </c>
      <c r="M165" s="288" t="s">
        <v>1224</v>
      </c>
      <c r="N165" s="293" t="s">
        <v>1225</v>
      </c>
      <c r="O165" s="294" t="s">
        <v>1422</v>
      </c>
      <c r="P165" s="297">
        <v>80630588</v>
      </c>
      <c r="Q165" s="297">
        <v>75305859412</v>
      </c>
    </row>
    <row r="166" spans="1:17" ht="30" x14ac:dyDescent="0.25">
      <c r="A166" s="289">
        <v>158</v>
      </c>
      <c r="B166" s="290">
        <v>22194</v>
      </c>
      <c r="C166" s="291" t="s">
        <v>519</v>
      </c>
      <c r="D166" s="292">
        <v>2</v>
      </c>
      <c r="E166" s="292">
        <v>0</v>
      </c>
      <c r="F166" s="292">
        <v>0</v>
      </c>
      <c r="G166" s="292">
        <v>0</v>
      </c>
      <c r="H166" s="292" t="s">
        <v>487</v>
      </c>
      <c r="I166" s="292">
        <v>0</v>
      </c>
      <c r="J166" s="292">
        <v>0</v>
      </c>
      <c r="K166" s="292" t="s">
        <v>833</v>
      </c>
      <c r="L166" s="292">
        <v>7</v>
      </c>
      <c r="M166" s="288" t="s">
        <v>788</v>
      </c>
      <c r="N166" s="293" t="s">
        <v>1226</v>
      </c>
      <c r="O166" s="294" t="s">
        <v>1423</v>
      </c>
      <c r="P166" s="297">
        <v>335375</v>
      </c>
      <c r="Q166" s="298" t="s">
        <v>1571</v>
      </c>
    </row>
    <row r="167" spans="1:17" ht="18.75" x14ac:dyDescent="0.25">
      <c r="A167" s="289">
        <v>159</v>
      </c>
      <c r="B167" s="290">
        <v>22186</v>
      </c>
      <c r="C167" s="291" t="s">
        <v>776</v>
      </c>
      <c r="D167" s="292">
        <v>4</v>
      </c>
      <c r="E167" s="292">
        <v>0</v>
      </c>
      <c r="F167" s="292">
        <v>0</v>
      </c>
      <c r="G167" s="292">
        <v>0</v>
      </c>
      <c r="H167" s="292" t="s">
        <v>487</v>
      </c>
      <c r="I167" s="292">
        <v>0</v>
      </c>
      <c r="J167" s="292">
        <v>0</v>
      </c>
      <c r="K167" s="292" t="s">
        <v>833</v>
      </c>
      <c r="L167" s="292">
        <v>7</v>
      </c>
      <c r="M167" s="288" t="s">
        <v>788</v>
      </c>
      <c r="N167" s="293" t="s">
        <v>1227</v>
      </c>
      <c r="O167" s="294" t="s">
        <v>1424</v>
      </c>
      <c r="P167" s="297">
        <v>11835</v>
      </c>
      <c r="Q167" s="297">
        <v>9636</v>
      </c>
    </row>
    <row r="168" spans="1:17" ht="18.75" x14ac:dyDescent="0.25">
      <c r="A168" s="289">
        <v>160</v>
      </c>
      <c r="B168" s="290">
        <v>144261</v>
      </c>
      <c r="C168" s="291" t="s">
        <v>1665</v>
      </c>
      <c r="D168" s="292">
        <v>84</v>
      </c>
      <c r="E168" s="292">
        <v>0</v>
      </c>
      <c r="F168" s="292">
        <v>0</v>
      </c>
      <c r="G168" s="292">
        <v>0</v>
      </c>
      <c r="H168" s="292" t="s">
        <v>487</v>
      </c>
      <c r="I168" s="292">
        <v>43</v>
      </c>
      <c r="J168" s="292">
        <v>0</v>
      </c>
      <c r="K168" s="292" t="s">
        <v>431</v>
      </c>
      <c r="L168" s="292">
        <v>6</v>
      </c>
      <c r="M168" s="288" t="s">
        <v>493</v>
      </c>
      <c r="N168" s="293" t="s">
        <v>443</v>
      </c>
      <c r="O168" s="294" t="s">
        <v>1425</v>
      </c>
      <c r="P168" s="297">
        <v>199398989</v>
      </c>
      <c r="Q168" s="297">
        <v>189822489326</v>
      </c>
    </row>
    <row r="169" spans="1:17" ht="18.75" x14ac:dyDescent="0.25">
      <c r="A169" s="289">
        <v>161</v>
      </c>
      <c r="B169" s="290">
        <v>127399</v>
      </c>
      <c r="C169" s="291" t="s">
        <v>777</v>
      </c>
      <c r="D169" s="292">
        <v>14</v>
      </c>
      <c r="E169" s="292">
        <v>0</v>
      </c>
      <c r="F169" s="292">
        <v>0</v>
      </c>
      <c r="G169" s="292">
        <v>0</v>
      </c>
      <c r="H169" s="292" t="s">
        <v>484</v>
      </c>
      <c r="I169" s="292">
        <v>6</v>
      </c>
      <c r="J169" s="292">
        <v>0</v>
      </c>
      <c r="K169" s="292" t="s">
        <v>431</v>
      </c>
      <c r="L169" s="292">
        <v>7</v>
      </c>
      <c r="M169" s="288" t="s">
        <v>1228</v>
      </c>
      <c r="N169" s="293" t="s">
        <v>442</v>
      </c>
      <c r="O169" s="294" t="s">
        <v>1426</v>
      </c>
      <c r="P169" s="297">
        <v>372123625</v>
      </c>
      <c r="Q169" s="297">
        <v>313120975625</v>
      </c>
    </row>
    <row r="170" spans="1:17" ht="18.75" x14ac:dyDescent="0.25">
      <c r="A170" s="289">
        <v>162</v>
      </c>
      <c r="B170" s="290">
        <v>358283</v>
      </c>
      <c r="C170" s="291" t="s">
        <v>509</v>
      </c>
      <c r="D170" s="292">
        <v>8</v>
      </c>
      <c r="E170" s="292">
        <v>0</v>
      </c>
      <c r="F170" s="292">
        <v>0</v>
      </c>
      <c r="G170" s="292">
        <v>0</v>
      </c>
      <c r="H170" s="292" t="s">
        <v>484</v>
      </c>
      <c r="I170" s="292">
        <v>7</v>
      </c>
      <c r="J170" s="292">
        <v>0</v>
      </c>
      <c r="K170" s="292" t="s">
        <v>431</v>
      </c>
      <c r="L170" s="292">
        <v>6</v>
      </c>
      <c r="M170" s="288" t="s">
        <v>1228</v>
      </c>
      <c r="N170" s="293" t="s">
        <v>1229</v>
      </c>
      <c r="O170" s="294" t="s">
        <v>1427</v>
      </c>
      <c r="P170" s="297">
        <v>3693767</v>
      </c>
      <c r="Q170" s="297">
        <v>3154023665</v>
      </c>
    </row>
    <row r="171" spans="1:17" ht="18.75" x14ac:dyDescent="0.25">
      <c r="A171" s="289">
        <v>163</v>
      </c>
      <c r="B171" s="290">
        <v>407544</v>
      </c>
      <c r="C171" s="291" t="s">
        <v>772</v>
      </c>
      <c r="D171" s="292">
        <v>1</v>
      </c>
      <c r="E171" s="292">
        <v>0</v>
      </c>
      <c r="F171" s="292">
        <v>0</v>
      </c>
      <c r="G171" s="292">
        <v>0</v>
      </c>
      <c r="H171" s="292" t="s">
        <v>484</v>
      </c>
      <c r="I171" s="292">
        <v>0</v>
      </c>
      <c r="J171" s="292">
        <v>0</v>
      </c>
      <c r="K171" s="292">
        <v>5</v>
      </c>
      <c r="L171" s="292">
        <v>6</v>
      </c>
      <c r="M171" s="288" t="s">
        <v>1228</v>
      </c>
      <c r="N171" s="293" t="s">
        <v>1230</v>
      </c>
      <c r="O171" s="294" t="s">
        <v>1428</v>
      </c>
      <c r="P171" s="298" t="s">
        <v>1429</v>
      </c>
      <c r="Q171" s="298">
        <v>1863802</v>
      </c>
    </row>
    <row r="172" spans="1:17" ht="18.75" x14ac:dyDescent="0.25">
      <c r="A172" s="289">
        <v>164</v>
      </c>
      <c r="B172" s="290">
        <v>407551</v>
      </c>
      <c r="C172" s="291" t="s">
        <v>485</v>
      </c>
      <c r="D172" s="292">
        <v>0</v>
      </c>
      <c r="E172" s="292">
        <v>0</v>
      </c>
      <c r="F172" s="292">
        <v>0</v>
      </c>
      <c r="G172" s="292">
        <v>0</v>
      </c>
      <c r="H172" s="292" t="s">
        <v>484</v>
      </c>
      <c r="I172" s="292">
        <v>0</v>
      </c>
      <c r="J172" s="292">
        <v>0</v>
      </c>
      <c r="K172" s="292">
        <v>5</v>
      </c>
      <c r="L172" s="292">
        <v>6</v>
      </c>
      <c r="M172" s="288" t="s">
        <v>1228</v>
      </c>
      <c r="N172" s="293" t="s">
        <v>1231</v>
      </c>
      <c r="O172" s="294" t="s">
        <v>1430</v>
      </c>
      <c r="P172" s="298" t="s">
        <v>1431</v>
      </c>
      <c r="Q172" s="298" t="s">
        <v>1432</v>
      </c>
    </row>
    <row r="173" spans="1:17" ht="18.75" x14ac:dyDescent="0.25">
      <c r="A173" s="289">
        <v>165</v>
      </c>
      <c r="B173" s="290">
        <v>580852</v>
      </c>
      <c r="C173" s="291" t="s">
        <v>1232</v>
      </c>
      <c r="D173" s="292">
        <v>0</v>
      </c>
      <c r="E173" s="292">
        <v>0</v>
      </c>
      <c r="F173" s="292">
        <v>0</v>
      </c>
      <c r="G173" s="292">
        <v>0</v>
      </c>
      <c r="H173" s="292" t="s">
        <v>864</v>
      </c>
      <c r="I173" s="292">
        <v>0</v>
      </c>
      <c r="J173" s="292">
        <v>0</v>
      </c>
      <c r="K173" s="292" t="s">
        <v>865</v>
      </c>
      <c r="L173" s="292">
        <v>6</v>
      </c>
      <c r="M173" s="288" t="s">
        <v>1233</v>
      </c>
      <c r="N173" s="293" t="s">
        <v>1234</v>
      </c>
      <c r="O173" s="294" t="s">
        <v>1433</v>
      </c>
      <c r="P173" s="297">
        <v>2174</v>
      </c>
      <c r="Q173" s="298">
        <v>1087</v>
      </c>
    </row>
    <row r="174" spans="1:17" ht="18.75" x14ac:dyDescent="0.25">
      <c r="A174" s="289">
        <v>166</v>
      </c>
      <c r="B174" s="290">
        <v>580860</v>
      </c>
      <c r="C174" s="291" t="s">
        <v>1232</v>
      </c>
      <c r="D174" s="292">
        <v>0</v>
      </c>
      <c r="E174" s="292">
        <v>0</v>
      </c>
      <c r="F174" s="292">
        <v>0</v>
      </c>
      <c r="G174" s="292">
        <v>0</v>
      </c>
      <c r="H174" s="292" t="s">
        <v>864</v>
      </c>
      <c r="I174" s="292">
        <v>0</v>
      </c>
      <c r="J174" s="292">
        <v>0</v>
      </c>
      <c r="K174" s="292" t="s">
        <v>865</v>
      </c>
      <c r="L174" s="292">
        <v>6</v>
      </c>
      <c r="M174" s="288" t="s">
        <v>1233</v>
      </c>
      <c r="N174" s="293" t="s">
        <v>1235</v>
      </c>
      <c r="O174" s="294" t="s">
        <v>1434</v>
      </c>
      <c r="P174" s="298">
        <v>3</v>
      </c>
      <c r="Q174" s="298">
        <v>1500</v>
      </c>
    </row>
    <row r="175" spans="1:17" ht="18.75" x14ac:dyDescent="0.25">
      <c r="A175" s="289">
        <v>167</v>
      </c>
      <c r="B175" s="290">
        <v>504423</v>
      </c>
      <c r="C175" s="291" t="s">
        <v>1712</v>
      </c>
      <c r="D175" s="292">
        <v>152</v>
      </c>
      <c r="E175" s="292">
        <v>0</v>
      </c>
      <c r="F175" s="292">
        <v>0</v>
      </c>
      <c r="G175" s="292">
        <v>30</v>
      </c>
      <c r="H175" s="292" t="s">
        <v>484</v>
      </c>
      <c r="I175" s="292">
        <v>40</v>
      </c>
      <c r="J175" s="292">
        <v>0</v>
      </c>
      <c r="K175" s="292" t="s">
        <v>431</v>
      </c>
      <c r="L175" s="292">
        <v>6</v>
      </c>
      <c r="M175" s="288" t="s">
        <v>1236</v>
      </c>
      <c r="N175" s="293" t="s">
        <v>1237</v>
      </c>
      <c r="O175" s="294" t="s">
        <v>1435</v>
      </c>
      <c r="P175" s="297">
        <v>2782537</v>
      </c>
      <c r="Q175" s="298">
        <v>2373</v>
      </c>
    </row>
    <row r="176" spans="1:17" ht="18.75" x14ac:dyDescent="0.25">
      <c r="A176" s="289">
        <v>168</v>
      </c>
      <c r="B176" s="290">
        <v>129908</v>
      </c>
      <c r="C176" s="291" t="s">
        <v>771</v>
      </c>
      <c r="D176" s="292">
        <v>3</v>
      </c>
      <c r="E176" s="292">
        <v>0</v>
      </c>
      <c r="F176" s="292">
        <v>0</v>
      </c>
      <c r="G176" s="292">
        <v>0</v>
      </c>
      <c r="H176" s="292" t="s">
        <v>484</v>
      </c>
      <c r="I176" s="292">
        <v>1</v>
      </c>
      <c r="J176" s="292">
        <v>0</v>
      </c>
      <c r="K176" s="292" t="s">
        <v>431</v>
      </c>
      <c r="L176" s="292">
        <v>6</v>
      </c>
      <c r="M176" s="288" t="s">
        <v>1238</v>
      </c>
      <c r="N176" s="293" t="s">
        <v>1436</v>
      </c>
      <c r="O176" s="294" t="s">
        <v>1437</v>
      </c>
      <c r="P176" s="297">
        <v>2339</v>
      </c>
      <c r="Q176" s="297">
        <v>2267976265</v>
      </c>
    </row>
    <row r="177" spans="1:17" ht="18.75" x14ac:dyDescent="0.25">
      <c r="A177" s="289">
        <v>169</v>
      </c>
      <c r="B177" s="290">
        <v>741009</v>
      </c>
      <c r="C177" s="291" t="s">
        <v>772</v>
      </c>
      <c r="D177" s="292">
        <v>1</v>
      </c>
      <c r="E177" s="292">
        <v>0</v>
      </c>
      <c r="F177" s="292">
        <v>0</v>
      </c>
      <c r="G177" s="292">
        <v>0</v>
      </c>
      <c r="H177" s="292" t="s">
        <v>484</v>
      </c>
      <c r="I177" s="292">
        <v>0</v>
      </c>
      <c r="J177" s="292">
        <v>0</v>
      </c>
      <c r="K177" s="292" t="s">
        <v>833</v>
      </c>
      <c r="L177" s="292">
        <v>6</v>
      </c>
      <c r="M177" s="288" t="s">
        <v>1238</v>
      </c>
      <c r="N177" s="293" t="s">
        <v>1239</v>
      </c>
      <c r="O177" s="294" t="s">
        <v>1438</v>
      </c>
      <c r="P177" s="298" t="s">
        <v>1630</v>
      </c>
      <c r="Q177" s="298">
        <v>132121</v>
      </c>
    </row>
    <row r="178" spans="1:17" ht="18.75" x14ac:dyDescent="0.25">
      <c r="A178" s="289">
        <v>170</v>
      </c>
      <c r="B178" s="290">
        <v>127308</v>
      </c>
      <c r="C178" s="291" t="s">
        <v>485</v>
      </c>
      <c r="D178" s="292">
        <v>0</v>
      </c>
      <c r="E178" s="292">
        <v>0</v>
      </c>
      <c r="F178" s="292">
        <v>4</v>
      </c>
      <c r="G178" s="292">
        <v>0</v>
      </c>
      <c r="H178" s="292" t="s">
        <v>484</v>
      </c>
      <c r="I178" s="292">
        <v>2</v>
      </c>
      <c r="J178" s="292">
        <v>0</v>
      </c>
      <c r="K178" s="292" t="s">
        <v>431</v>
      </c>
      <c r="L178" s="292" t="s">
        <v>486</v>
      </c>
      <c r="M178" s="288" t="s">
        <v>1240</v>
      </c>
      <c r="N178" s="293" t="s">
        <v>1241</v>
      </c>
      <c r="O178" s="294" t="s">
        <v>1440</v>
      </c>
      <c r="P178" s="297">
        <v>451688571</v>
      </c>
      <c r="Q178" s="297">
        <v>366523679286</v>
      </c>
    </row>
    <row r="179" spans="1:17" ht="18.75" x14ac:dyDescent="0.25">
      <c r="A179" s="289">
        <v>171</v>
      </c>
      <c r="B179" s="290">
        <v>743701</v>
      </c>
      <c r="C179" s="291" t="s">
        <v>811</v>
      </c>
      <c r="D179" s="292">
        <v>10</v>
      </c>
      <c r="E179" s="292">
        <v>0</v>
      </c>
      <c r="F179" s="292">
        <v>0</v>
      </c>
      <c r="G179" s="292">
        <v>0</v>
      </c>
      <c r="H179" s="292" t="s">
        <v>484</v>
      </c>
      <c r="I179" s="292">
        <v>8</v>
      </c>
      <c r="J179" s="292">
        <v>0</v>
      </c>
      <c r="K179" s="292" t="s">
        <v>431</v>
      </c>
      <c r="L179" s="292">
        <v>6</v>
      </c>
      <c r="M179" s="288" t="s">
        <v>775</v>
      </c>
      <c r="N179" s="293" t="s">
        <v>775</v>
      </c>
      <c r="O179" s="294" t="s">
        <v>1441</v>
      </c>
      <c r="P179" s="297">
        <v>116768</v>
      </c>
      <c r="Q179" s="298">
        <v>109296</v>
      </c>
    </row>
    <row r="180" spans="1:17" ht="18.75" x14ac:dyDescent="0.25">
      <c r="A180" s="289">
        <v>172</v>
      </c>
      <c r="B180" s="290">
        <v>368035</v>
      </c>
      <c r="C180" s="291" t="s">
        <v>485</v>
      </c>
      <c r="D180" s="292">
        <v>0</v>
      </c>
      <c r="E180" s="292">
        <v>0</v>
      </c>
      <c r="F180" s="292">
        <v>0</v>
      </c>
      <c r="G180" s="292">
        <v>0</v>
      </c>
      <c r="H180" s="292" t="s">
        <v>487</v>
      </c>
      <c r="I180" s="292">
        <v>0</v>
      </c>
      <c r="J180" s="292">
        <v>0</v>
      </c>
      <c r="K180" s="292">
        <v>5</v>
      </c>
      <c r="L180" s="292">
        <v>6</v>
      </c>
      <c r="M180" s="288" t="s">
        <v>1240</v>
      </c>
      <c r="N180" s="293" t="s">
        <v>1242</v>
      </c>
      <c r="O180" s="294" t="s">
        <v>1442</v>
      </c>
      <c r="P180" s="298">
        <v>1131</v>
      </c>
      <c r="Q180" s="298" t="s">
        <v>1443</v>
      </c>
    </row>
    <row r="181" spans="1:17" ht="18.75" x14ac:dyDescent="0.25">
      <c r="A181" s="289">
        <v>173</v>
      </c>
      <c r="B181" s="290">
        <v>145839</v>
      </c>
      <c r="C181" s="291" t="s">
        <v>776</v>
      </c>
      <c r="D181" s="292">
        <v>4</v>
      </c>
      <c r="E181" s="292">
        <v>0</v>
      </c>
      <c r="F181" s="292">
        <v>3</v>
      </c>
      <c r="G181" s="292">
        <v>0</v>
      </c>
      <c r="H181" s="292" t="s">
        <v>484</v>
      </c>
      <c r="I181" s="292">
        <v>4</v>
      </c>
      <c r="J181" s="292">
        <v>0</v>
      </c>
      <c r="K181" s="292" t="s">
        <v>431</v>
      </c>
      <c r="L181" s="292">
        <v>6</v>
      </c>
      <c r="M181" s="288" t="s">
        <v>1243</v>
      </c>
      <c r="N181" s="293" t="s">
        <v>437</v>
      </c>
      <c r="O181" s="294" t="s">
        <v>1444</v>
      </c>
      <c r="P181" s="297">
        <v>148865714</v>
      </c>
      <c r="Q181" s="297" t="s">
        <v>1713</v>
      </c>
    </row>
    <row r="182" spans="1:17" ht="30" x14ac:dyDescent="0.25">
      <c r="A182" s="289">
        <v>174</v>
      </c>
      <c r="B182" s="290">
        <v>744095</v>
      </c>
      <c r="C182" s="291" t="s">
        <v>485</v>
      </c>
      <c r="D182" s="292">
        <v>0</v>
      </c>
      <c r="E182" s="292">
        <v>0</v>
      </c>
      <c r="F182" s="292">
        <v>0</v>
      </c>
      <c r="G182" s="292">
        <v>2</v>
      </c>
      <c r="H182" s="292" t="s">
        <v>487</v>
      </c>
      <c r="I182" s="292">
        <v>122</v>
      </c>
      <c r="J182" s="292">
        <v>0</v>
      </c>
      <c r="K182" s="292" t="s">
        <v>431</v>
      </c>
      <c r="L182" s="292" t="s">
        <v>486</v>
      </c>
      <c r="M182" s="288" t="s">
        <v>1245</v>
      </c>
      <c r="N182" s="293" t="s">
        <v>1572</v>
      </c>
      <c r="O182" s="294" t="s">
        <v>1573</v>
      </c>
      <c r="P182" s="297">
        <v>263612065</v>
      </c>
      <c r="Q182" s="297">
        <v>225834830194</v>
      </c>
    </row>
    <row r="183" spans="1:17" ht="18.75" x14ac:dyDescent="0.25">
      <c r="A183" s="289">
        <v>175</v>
      </c>
      <c r="B183" s="290">
        <v>80499</v>
      </c>
      <c r="C183" s="291" t="s">
        <v>782</v>
      </c>
      <c r="D183" s="292">
        <v>5</v>
      </c>
      <c r="E183" s="292">
        <v>0</v>
      </c>
      <c r="F183" s="292">
        <v>0</v>
      </c>
      <c r="G183" s="292">
        <v>0</v>
      </c>
      <c r="H183" s="292" t="s">
        <v>484</v>
      </c>
      <c r="I183" s="292">
        <v>1</v>
      </c>
      <c r="J183" s="292">
        <v>0</v>
      </c>
      <c r="K183" s="292" t="s">
        <v>431</v>
      </c>
      <c r="L183" s="292">
        <v>6</v>
      </c>
      <c r="M183" s="288" t="s">
        <v>1246</v>
      </c>
      <c r="N183" s="293" t="s">
        <v>1247</v>
      </c>
      <c r="O183" s="294" t="s">
        <v>1445</v>
      </c>
      <c r="P183" s="297">
        <v>1619238</v>
      </c>
      <c r="Q183" s="298" t="s">
        <v>1592</v>
      </c>
    </row>
    <row r="184" spans="1:17" ht="18.75" x14ac:dyDescent="0.25">
      <c r="A184" s="289">
        <v>176</v>
      </c>
      <c r="B184" s="290">
        <v>80507</v>
      </c>
      <c r="C184" s="291" t="s">
        <v>485</v>
      </c>
      <c r="D184" s="292">
        <v>0</v>
      </c>
      <c r="E184" s="292">
        <v>0</v>
      </c>
      <c r="F184" s="292">
        <v>9</v>
      </c>
      <c r="G184" s="292">
        <v>8</v>
      </c>
      <c r="H184" s="292" t="s">
        <v>484</v>
      </c>
      <c r="I184" s="292">
        <v>1</v>
      </c>
      <c r="J184" s="292">
        <v>0</v>
      </c>
      <c r="K184" s="292" t="s">
        <v>431</v>
      </c>
      <c r="L184" s="292">
        <v>6</v>
      </c>
      <c r="M184" s="288" t="s">
        <v>1246</v>
      </c>
      <c r="N184" s="293" t="s">
        <v>1248</v>
      </c>
      <c r="O184" s="294" t="s">
        <v>1446</v>
      </c>
      <c r="P184" s="298" t="s">
        <v>1447</v>
      </c>
      <c r="Q184" s="297">
        <v>4831409906667</v>
      </c>
    </row>
    <row r="185" spans="1:17" ht="18.75" x14ac:dyDescent="0.25">
      <c r="A185" s="289">
        <v>177</v>
      </c>
      <c r="B185" s="290">
        <v>80705</v>
      </c>
      <c r="C185" s="291" t="s">
        <v>771</v>
      </c>
      <c r="D185" s="292">
        <v>3</v>
      </c>
      <c r="E185" s="292">
        <v>0</v>
      </c>
      <c r="F185" s="292">
        <v>0</v>
      </c>
      <c r="G185" s="292">
        <v>0</v>
      </c>
      <c r="H185" s="292" t="s">
        <v>484</v>
      </c>
      <c r="I185" s="292">
        <v>2</v>
      </c>
      <c r="J185" s="292">
        <v>0</v>
      </c>
      <c r="K185" s="292" t="s">
        <v>431</v>
      </c>
      <c r="L185" s="292">
        <v>6</v>
      </c>
      <c r="M185" s="288" t="s">
        <v>1246</v>
      </c>
      <c r="N185" s="293" t="s">
        <v>1249</v>
      </c>
      <c r="O185" s="294" t="s">
        <v>1448</v>
      </c>
      <c r="P185" s="298" t="s">
        <v>1593</v>
      </c>
      <c r="Q185" s="297">
        <v>2825266666667</v>
      </c>
    </row>
    <row r="186" spans="1:17" ht="18.75" x14ac:dyDescent="0.25">
      <c r="A186" s="289">
        <v>178</v>
      </c>
      <c r="B186" s="290">
        <v>88823</v>
      </c>
      <c r="C186" s="291" t="s">
        <v>772</v>
      </c>
      <c r="D186" s="292">
        <v>1</v>
      </c>
      <c r="E186" s="292">
        <v>0</v>
      </c>
      <c r="F186" s="292">
        <v>7</v>
      </c>
      <c r="G186" s="292">
        <v>0</v>
      </c>
      <c r="H186" s="292" t="s">
        <v>484</v>
      </c>
      <c r="I186" s="292">
        <v>4</v>
      </c>
      <c r="J186" s="292">
        <v>0</v>
      </c>
      <c r="K186" s="292" t="s">
        <v>431</v>
      </c>
      <c r="L186" s="292">
        <v>7</v>
      </c>
      <c r="M186" s="288" t="s">
        <v>885</v>
      </c>
      <c r="N186" s="293" t="s">
        <v>886</v>
      </c>
      <c r="O186" s="294" t="s">
        <v>1411</v>
      </c>
      <c r="P186" s="297">
        <v>4355898</v>
      </c>
      <c r="Q186" s="298">
        <v>3697547</v>
      </c>
    </row>
    <row r="187" spans="1:17" ht="18.75" x14ac:dyDescent="0.25">
      <c r="A187" s="289">
        <v>179</v>
      </c>
      <c r="B187" s="290">
        <v>553933</v>
      </c>
      <c r="C187" s="291" t="s">
        <v>485</v>
      </c>
      <c r="D187" s="292">
        <v>0</v>
      </c>
      <c r="E187" s="292">
        <v>0</v>
      </c>
      <c r="F187" s="292">
        <v>0</v>
      </c>
      <c r="G187" s="292">
        <v>0</v>
      </c>
      <c r="H187" s="292" t="s">
        <v>864</v>
      </c>
      <c r="I187" s="292">
        <v>0</v>
      </c>
      <c r="J187" s="292">
        <v>0</v>
      </c>
      <c r="K187" s="292" t="s">
        <v>865</v>
      </c>
      <c r="L187" s="292">
        <v>8</v>
      </c>
      <c r="M187" s="288" t="s">
        <v>1250</v>
      </c>
      <c r="N187" s="293" t="s">
        <v>1251</v>
      </c>
      <c r="O187" s="294" t="s">
        <v>1449</v>
      </c>
      <c r="P187" s="298" t="s">
        <v>1450</v>
      </c>
      <c r="Q187" s="298" t="s">
        <v>1451</v>
      </c>
    </row>
    <row r="188" spans="1:17" ht="18.75" x14ac:dyDescent="0.25">
      <c r="A188" s="289">
        <v>180</v>
      </c>
      <c r="B188" s="290">
        <v>177899</v>
      </c>
      <c r="C188" s="291" t="s">
        <v>1697</v>
      </c>
      <c r="D188" s="292">
        <v>2563</v>
      </c>
      <c r="E188" s="292">
        <v>0</v>
      </c>
      <c r="F188" s="292">
        <v>0</v>
      </c>
      <c r="G188" s="292">
        <v>1020</v>
      </c>
      <c r="H188" s="292" t="s">
        <v>484</v>
      </c>
      <c r="I188" s="292">
        <v>212</v>
      </c>
      <c r="J188" s="292">
        <v>0</v>
      </c>
      <c r="K188" s="292" t="s">
        <v>431</v>
      </c>
      <c r="L188" s="292" t="s">
        <v>486</v>
      </c>
      <c r="M188" s="288" t="s">
        <v>805</v>
      </c>
      <c r="N188" s="293" t="s">
        <v>806</v>
      </c>
      <c r="O188" s="294" t="s">
        <v>1341</v>
      </c>
      <c r="P188" s="297">
        <v>1516853</v>
      </c>
      <c r="Q188" s="297">
        <v>1373347158</v>
      </c>
    </row>
    <row r="189" spans="1:17" ht="18.75" x14ac:dyDescent="0.25">
      <c r="A189" s="289">
        <v>181</v>
      </c>
      <c r="B189" s="290">
        <v>742654</v>
      </c>
      <c r="C189" s="291" t="s">
        <v>1439</v>
      </c>
      <c r="D189" s="292">
        <v>25</v>
      </c>
      <c r="E189" s="292">
        <v>0</v>
      </c>
      <c r="F189" s="292">
        <v>37</v>
      </c>
      <c r="G189" s="292">
        <v>30</v>
      </c>
      <c r="H189" s="292" t="s">
        <v>484</v>
      </c>
      <c r="I189" s="292">
        <v>12</v>
      </c>
      <c r="J189" s="292">
        <v>0</v>
      </c>
      <c r="K189" s="292" t="s">
        <v>431</v>
      </c>
      <c r="L189" s="292">
        <v>8</v>
      </c>
      <c r="M189" s="288" t="s">
        <v>1252</v>
      </c>
      <c r="N189" s="293" t="s">
        <v>1253</v>
      </c>
      <c r="O189" s="294" t="s">
        <v>1452</v>
      </c>
      <c r="P189" s="297">
        <v>9981111</v>
      </c>
      <c r="Q189" s="297">
        <v>8416666667</v>
      </c>
    </row>
    <row r="190" spans="1:17" ht="18.75" x14ac:dyDescent="0.25">
      <c r="A190" s="289">
        <v>182</v>
      </c>
      <c r="B190" s="290">
        <v>68403</v>
      </c>
      <c r="C190" s="291" t="s">
        <v>772</v>
      </c>
      <c r="D190" s="292">
        <v>1</v>
      </c>
      <c r="E190" s="292">
        <v>0</v>
      </c>
      <c r="F190" s="292">
        <v>7</v>
      </c>
      <c r="G190" s="292">
        <v>0</v>
      </c>
      <c r="H190" s="292" t="s">
        <v>487</v>
      </c>
      <c r="I190" s="292">
        <v>6</v>
      </c>
      <c r="J190" s="292">
        <v>0</v>
      </c>
      <c r="K190" s="292" t="s">
        <v>431</v>
      </c>
      <c r="L190" s="292">
        <v>6</v>
      </c>
      <c r="M190" s="288" t="s">
        <v>1240</v>
      </c>
      <c r="N190" s="293" t="s">
        <v>1594</v>
      </c>
      <c r="O190" s="294" t="s">
        <v>1595</v>
      </c>
      <c r="P190" s="297" t="s">
        <v>1685</v>
      </c>
      <c r="Q190" s="297" t="s">
        <v>1686</v>
      </c>
    </row>
    <row r="191" spans="1:17" ht="18.75" x14ac:dyDescent="0.25">
      <c r="A191" s="289">
        <v>183</v>
      </c>
      <c r="B191" s="290">
        <v>127696</v>
      </c>
      <c r="C191" s="291" t="s">
        <v>485</v>
      </c>
      <c r="D191" s="292">
        <v>0</v>
      </c>
      <c r="E191" s="292">
        <v>0</v>
      </c>
      <c r="F191" s="292">
        <v>0</v>
      </c>
      <c r="G191" s="292">
        <v>0</v>
      </c>
      <c r="H191" s="292" t="s">
        <v>484</v>
      </c>
      <c r="I191" s="292">
        <v>0</v>
      </c>
      <c r="J191" s="292">
        <v>0</v>
      </c>
      <c r="K191" s="292">
        <v>5</v>
      </c>
      <c r="L191" s="292">
        <v>6</v>
      </c>
      <c r="M191" s="288" t="s">
        <v>1240</v>
      </c>
      <c r="N191" s="293" t="s">
        <v>1255</v>
      </c>
      <c r="O191" s="294" t="s">
        <v>1453</v>
      </c>
      <c r="P191" s="298">
        <v>397</v>
      </c>
      <c r="Q191" s="298" t="s">
        <v>1454</v>
      </c>
    </row>
    <row r="192" spans="1:17" ht="18.75" x14ac:dyDescent="0.25">
      <c r="A192" s="289">
        <v>184</v>
      </c>
      <c r="B192" s="290">
        <v>401315</v>
      </c>
      <c r="C192" s="291" t="s">
        <v>774</v>
      </c>
      <c r="D192" s="292">
        <v>7</v>
      </c>
      <c r="E192" s="292">
        <v>0</v>
      </c>
      <c r="F192" s="292">
        <v>0</v>
      </c>
      <c r="G192" s="292">
        <v>1</v>
      </c>
      <c r="H192" s="292" t="s">
        <v>484</v>
      </c>
      <c r="I192" s="292">
        <v>4</v>
      </c>
      <c r="J192" s="292">
        <v>0</v>
      </c>
      <c r="K192" s="292" t="s">
        <v>431</v>
      </c>
      <c r="L192" s="292">
        <v>6</v>
      </c>
      <c r="M192" s="288" t="s">
        <v>1240</v>
      </c>
      <c r="N192" s="293" t="s">
        <v>1256</v>
      </c>
      <c r="O192" s="294" t="s">
        <v>1455</v>
      </c>
      <c r="P192" s="297">
        <v>11103625</v>
      </c>
      <c r="Q192" s="297">
        <v>99286615625</v>
      </c>
    </row>
    <row r="193" spans="1:17" ht="18.75" x14ac:dyDescent="0.25">
      <c r="A193" s="289">
        <v>185</v>
      </c>
      <c r="B193" s="290">
        <v>127704</v>
      </c>
      <c r="C193" s="291" t="s">
        <v>1714</v>
      </c>
      <c r="D193" s="292">
        <v>41</v>
      </c>
      <c r="E193" s="292">
        <v>0</v>
      </c>
      <c r="F193" s="292">
        <v>0</v>
      </c>
      <c r="G193" s="292">
        <v>0</v>
      </c>
      <c r="H193" s="292" t="s">
        <v>484</v>
      </c>
      <c r="I193" s="292">
        <v>10</v>
      </c>
      <c r="J193" s="292">
        <v>0</v>
      </c>
      <c r="K193" s="292" t="s">
        <v>431</v>
      </c>
      <c r="L193" s="292">
        <v>6</v>
      </c>
      <c r="M193" s="288" t="s">
        <v>1257</v>
      </c>
      <c r="N193" s="293" t="s">
        <v>1258</v>
      </c>
      <c r="O193" s="294" t="s">
        <v>1456</v>
      </c>
      <c r="P193" s="297">
        <v>597264</v>
      </c>
      <c r="Q193" s="297">
        <v>52904746</v>
      </c>
    </row>
    <row r="194" spans="1:17" ht="18.75" x14ac:dyDescent="0.25">
      <c r="A194" s="289">
        <v>186</v>
      </c>
      <c r="B194" s="290">
        <v>127225</v>
      </c>
      <c r="C194" s="291" t="s">
        <v>771</v>
      </c>
      <c r="D194" s="292">
        <v>3</v>
      </c>
      <c r="E194" s="292">
        <v>0</v>
      </c>
      <c r="F194" s="292">
        <v>0</v>
      </c>
      <c r="G194" s="292">
        <v>0</v>
      </c>
      <c r="H194" s="292" t="s">
        <v>484</v>
      </c>
      <c r="I194" s="292">
        <v>2</v>
      </c>
      <c r="J194" s="292">
        <v>0</v>
      </c>
      <c r="K194" s="292" t="s">
        <v>431</v>
      </c>
      <c r="L194" s="292">
        <v>6</v>
      </c>
      <c r="M194" s="288" t="s">
        <v>1259</v>
      </c>
      <c r="N194" s="293" t="s">
        <v>1260</v>
      </c>
      <c r="O194" s="294" t="s">
        <v>1457</v>
      </c>
      <c r="P194" s="297">
        <v>1068883333</v>
      </c>
      <c r="Q194" s="298" t="s">
        <v>1458</v>
      </c>
    </row>
    <row r="195" spans="1:17" ht="18.75" x14ac:dyDescent="0.25">
      <c r="A195" s="289">
        <v>187</v>
      </c>
      <c r="B195" s="290">
        <v>426965</v>
      </c>
      <c r="C195" s="291" t="s">
        <v>1715</v>
      </c>
      <c r="D195" s="292">
        <v>38</v>
      </c>
      <c r="E195" s="292">
        <v>0</v>
      </c>
      <c r="F195" s="292">
        <v>0</v>
      </c>
      <c r="G195" s="292">
        <v>0</v>
      </c>
      <c r="H195" s="292" t="s">
        <v>487</v>
      </c>
      <c r="I195" s="292">
        <v>63</v>
      </c>
      <c r="J195" s="292">
        <v>0</v>
      </c>
      <c r="K195" s="292" t="s">
        <v>431</v>
      </c>
      <c r="L195" s="292" t="s">
        <v>486</v>
      </c>
      <c r="M195" s="288" t="s">
        <v>1259</v>
      </c>
      <c r="N195" s="293" t="s">
        <v>1261</v>
      </c>
      <c r="O195" s="294" t="s">
        <v>1459</v>
      </c>
      <c r="P195" s="297">
        <v>173622244</v>
      </c>
      <c r="Q195" s="297">
        <v>153783087885</v>
      </c>
    </row>
    <row r="196" spans="1:17" ht="18.75" x14ac:dyDescent="0.25">
      <c r="A196" s="289">
        <v>188</v>
      </c>
      <c r="B196" s="290">
        <v>127209</v>
      </c>
      <c r="C196" s="291" t="s">
        <v>485</v>
      </c>
      <c r="D196" s="292">
        <v>0</v>
      </c>
      <c r="E196" s="292">
        <v>0</v>
      </c>
      <c r="F196" s="292">
        <v>4</v>
      </c>
      <c r="G196" s="292">
        <v>0</v>
      </c>
      <c r="H196" s="292" t="s">
        <v>487</v>
      </c>
      <c r="I196" s="292">
        <v>6</v>
      </c>
      <c r="J196" s="292">
        <v>0</v>
      </c>
      <c r="K196" s="292" t="s">
        <v>431</v>
      </c>
      <c r="L196" s="292">
        <v>6</v>
      </c>
      <c r="M196" s="288" t="s">
        <v>1259</v>
      </c>
      <c r="N196" s="293" t="s">
        <v>441</v>
      </c>
      <c r="O196" s="294" t="s">
        <v>1460</v>
      </c>
      <c r="P196" s="297">
        <v>539204</v>
      </c>
      <c r="Q196" s="297">
        <v>452707307</v>
      </c>
    </row>
    <row r="197" spans="1:17" ht="18.75" x14ac:dyDescent="0.25">
      <c r="A197" s="289">
        <v>189</v>
      </c>
      <c r="B197" s="290">
        <v>409243</v>
      </c>
      <c r="C197" s="291" t="s">
        <v>519</v>
      </c>
      <c r="D197" s="292">
        <v>6</v>
      </c>
      <c r="E197" s="292">
        <v>4</v>
      </c>
      <c r="F197" s="292">
        <v>0</v>
      </c>
      <c r="G197" s="292">
        <v>0</v>
      </c>
      <c r="H197" s="292" t="s">
        <v>484</v>
      </c>
      <c r="I197" s="292">
        <v>1</v>
      </c>
      <c r="J197" s="292">
        <v>0</v>
      </c>
      <c r="K197" s="292" t="s">
        <v>431</v>
      </c>
      <c r="L197" s="292">
        <v>6</v>
      </c>
      <c r="M197" s="288" t="s">
        <v>1262</v>
      </c>
      <c r="N197" s="293" t="s">
        <v>1263</v>
      </c>
      <c r="O197" s="294" t="s">
        <v>1461</v>
      </c>
      <c r="P197" s="297">
        <v>731651667</v>
      </c>
      <c r="Q197" s="297">
        <v>682501048333</v>
      </c>
    </row>
    <row r="198" spans="1:17" ht="18.75" x14ac:dyDescent="0.25">
      <c r="A198" s="289">
        <v>190</v>
      </c>
      <c r="B198" s="290">
        <v>402727</v>
      </c>
      <c r="C198" s="291" t="s">
        <v>485</v>
      </c>
      <c r="D198" s="292">
        <v>0</v>
      </c>
      <c r="E198" s="292">
        <v>0</v>
      </c>
      <c r="F198" s="292">
        <v>0</v>
      </c>
      <c r="G198" s="292">
        <v>0</v>
      </c>
      <c r="H198" s="292" t="s">
        <v>484</v>
      </c>
      <c r="I198" s="292">
        <v>0</v>
      </c>
      <c r="J198" s="292">
        <v>10</v>
      </c>
      <c r="K198" s="292" t="s">
        <v>833</v>
      </c>
      <c r="L198" s="292">
        <v>6</v>
      </c>
      <c r="M198" s="288" t="s">
        <v>1264</v>
      </c>
      <c r="N198" s="293" t="s">
        <v>1265</v>
      </c>
      <c r="O198" s="294" t="s">
        <v>1462</v>
      </c>
      <c r="P198" s="297">
        <v>1076414</v>
      </c>
      <c r="Q198" s="298" t="s">
        <v>1463</v>
      </c>
    </row>
    <row r="199" spans="1:17" ht="18.75" x14ac:dyDescent="0.25">
      <c r="A199" s="289">
        <v>191</v>
      </c>
      <c r="B199" s="290">
        <v>127233</v>
      </c>
      <c r="C199" s="291" t="s">
        <v>485</v>
      </c>
      <c r="D199" s="292">
        <v>0</v>
      </c>
      <c r="E199" s="292">
        <v>0</v>
      </c>
      <c r="F199" s="292">
        <v>0</v>
      </c>
      <c r="G199" s="292">
        <v>0</v>
      </c>
      <c r="H199" s="292" t="s">
        <v>484</v>
      </c>
      <c r="I199" s="292">
        <v>2</v>
      </c>
      <c r="J199" s="292">
        <v>3</v>
      </c>
      <c r="K199" s="292" t="s">
        <v>431</v>
      </c>
      <c r="L199" s="292">
        <v>6</v>
      </c>
      <c r="M199" s="288" t="s">
        <v>1264</v>
      </c>
      <c r="N199" s="293" t="s">
        <v>1574</v>
      </c>
      <c r="O199" s="294" t="s">
        <v>1575</v>
      </c>
      <c r="P199" s="298" t="s">
        <v>1464</v>
      </c>
      <c r="Q199" s="297">
        <v>349650825</v>
      </c>
    </row>
    <row r="200" spans="1:17" ht="18.75" x14ac:dyDescent="0.25">
      <c r="A200" s="289">
        <v>192</v>
      </c>
      <c r="B200" s="290">
        <v>127688</v>
      </c>
      <c r="C200" s="291" t="s">
        <v>485</v>
      </c>
      <c r="D200" s="292">
        <v>1</v>
      </c>
      <c r="E200" s="292">
        <v>1</v>
      </c>
      <c r="F200" s="292">
        <v>2</v>
      </c>
      <c r="G200" s="292">
        <v>0</v>
      </c>
      <c r="H200" s="292" t="s">
        <v>484</v>
      </c>
      <c r="I200" s="292">
        <v>1</v>
      </c>
      <c r="J200" s="292">
        <v>0</v>
      </c>
      <c r="K200" s="292" t="s">
        <v>431</v>
      </c>
      <c r="L200" s="292">
        <v>7</v>
      </c>
      <c r="M200" s="288" t="s">
        <v>1264</v>
      </c>
      <c r="N200" s="293" t="s">
        <v>1267</v>
      </c>
      <c r="O200" s="294" t="s">
        <v>1465</v>
      </c>
      <c r="P200" s="297" t="s">
        <v>1716</v>
      </c>
      <c r="Q200" s="297" t="s">
        <v>1717</v>
      </c>
    </row>
    <row r="201" spans="1:17" ht="18.75" x14ac:dyDescent="0.25">
      <c r="A201" s="289">
        <v>193</v>
      </c>
      <c r="B201" s="290">
        <v>440677</v>
      </c>
      <c r="C201" s="291" t="s">
        <v>1232</v>
      </c>
      <c r="D201" s="292">
        <v>0</v>
      </c>
      <c r="E201" s="292">
        <v>0</v>
      </c>
      <c r="F201" s="292">
        <v>0</v>
      </c>
      <c r="G201" s="292">
        <v>0</v>
      </c>
      <c r="H201" s="292" t="s">
        <v>484</v>
      </c>
      <c r="I201" s="292">
        <v>0</v>
      </c>
      <c r="J201" s="292">
        <v>100</v>
      </c>
      <c r="K201" s="292" t="s">
        <v>431</v>
      </c>
      <c r="L201" s="292">
        <v>6</v>
      </c>
      <c r="M201" s="288" t="s">
        <v>769</v>
      </c>
      <c r="N201" s="293" t="s">
        <v>424</v>
      </c>
      <c r="O201" s="294" t="s">
        <v>1466</v>
      </c>
      <c r="P201" s="297">
        <v>253335</v>
      </c>
      <c r="Q201" s="298" t="s">
        <v>1576</v>
      </c>
    </row>
    <row r="202" spans="1:17" ht="18.75" x14ac:dyDescent="0.25">
      <c r="A202" s="289">
        <v>194</v>
      </c>
      <c r="B202" s="290">
        <v>440669</v>
      </c>
      <c r="C202" s="291" t="s">
        <v>1232</v>
      </c>
      <c r="D202" s="292">
        <v>0</v>
      </c>
      <c r="E202" s="292">
        <v>0</v>
      </c>
      <c r="F202" s="292">
        <v>0</v>
      </c>
      <c r="G202" s="292">
        <v>0</v>
      </c>
      <c r="H202" s="292" t="s">
        <v>484</v>
      </c>
      <c r="I202" s="292">
        <v>0</v>
      </c>
      <c r="J202" s="292">
        <v>0</v>
      </c>
      <c r="K202" s="292">
        <v>5</v>
      </c>
      <c r="L202" s="292" t="s">
        <v>486</v>
      </c>
      <c r="M202" s="288" t="s">
        <v>769</v>
      </c>
      <c r="N202" s="293" t="s">
        <v>425</v>
      </c>
      <c r="O202" s="294" t="s">
        <v>1467</v>
      </c>
      <c r="P202" s="297">
        <v>33683</v>
      </c>
      <c r="Q202" s="298">
        <v>2022</v>
      </c>
    </row>
    <row r="203" spans="1:17" ht="18.75" x14ac:dyDescent="0.25">
      <c r="A203" s="289">
        <v>195</v>
      </c>
      <c r="B203" s="290">
        <v>449686</v>
      </c>
      <c r="C203" s="291" t="s">
        <v>485</v>
      </c>
      <c r="D203" s="292">
        <v>0</v>
      </c>
      <c r="E203" s="292">
        <v>0</v>
      </c>
      <c r="F203" s="292">
        <v>0</v>
      </c>
      <c r="G203" s="292">
        <v>0</v>
      </c>
      <c r="H203" s="292" t="s">
        <v>487</v>
      </c>
      <c r="I203" s="292">
        <v>8</v>
      </c>
      <c r="J203" s="292">
        <v>0</v>
      </c>
      <c r="K203" s="292" t="s">
        <v>431</v>
      </c>
      <c r="L203" s="292">
        <v>6</v>
      </c>
      <c r="M203" s="288" t="s">
        <v>775</v>
      </c>
      <c r="N203" s="293" t="s">
        <v>1268</v>
      </c>
      <c r="O203" s="294" t="s">
        <v>1468</v>
      </c>
      <c r="P203" s="297">
        <v>55688125</v>
      </c>
      <c r="Q203" s="298">
        <v>51415</v>
      </c>
    </row>
    <row r="204" spans="1:17" ht="18.75" x14ac:dyDescent="0.25">
      <c r="A204" s="289">
        <v>196</v>
      </c>
      <c r="B204" s="290">
        <v>395350</v>
      </c>
      <c r="C204" s="291" t="s">
        <v>485</v>
      </c>
      <c r="D204" s="292">
        <v>0</v>
      </c>
      <c r="E204" s="292">
        <v>0</v>
      </c>
      <c r="F204" s="292">
        <v>0</v>
      </c>
      <c r="G204" s="292">
        <v>0</v>
      </c>
      <c r="H204" s="292" t="s">
        <v>484</v>
      </c>
      <c r="I204" s="292">
        <v>0</v>
      </c>
      <c r="J204" s="292">
        <v>0</v>
      </c>
      <c r="K204" s="292" t="s">
        <v>833</v>
      </c>
      <c r="L204" s="292">
        <v>7</v>
      </c>
      <c r="M204" s="288" t="s">
        <v>1221</v>
      </c>
      <c r="N204" s="293" t="s">
        <v>1567</v>
      </c>
      <c r="O204" s="294" t="s">
        <v>1568</v>
      </c>
      <c r="P204" s="298">
        <v>415</v>
      </c>
      <c r="Q204" s="298" t="s">
        <v>1419</v>
      </c>
    </row>
    <row r="205" spans="1:17" ht="18.75" x14ac:dyDescent="0.25">
      <c r="A205" s="289">
        <v>197</v>
      </c>
      <c r="B205" s="290">
        <v>395368</v>
      </c>
      <c r="C205" s="291" t="s">
        <v>485</v>
      </c>
      <c r="D205" s="292">
        <v>0</v>
      </c>
      <c r="E205" s="292">
        <v>0</v>
      </c>
      <c r="F205" s="292">
        <v>0</v>
      </c>
      <c r="G205" s="292">
        <v>0</v>
      </c>
      <c r="H205" s="292" t="s">
        <v>484</v>
      </c>
      <c r="I205" s="292">
        <v>0</v>
      </c>
      <c r="J205" s="292">
        <v>0</v>
      </c>
      <c r="K205" s="292" t="s">
        <v>833</v>
      </c>
      <c r="L205" s="292">
        <v>7</v>
      </c>
      <c r="M205" s="288" t="s">
        <v>1221</v>
      </c>
      <c r="N205" s="293" t="s">
        <v>1569</v>
      </c>
      <c r="O205" s="294" t="s">
        <v>1570</v>
      </c>
      <c r="P205" s="298">
        <v>57</v>
      </c>
      <c r="Q205" s="298" t="s">
        <v>1420</v>
      </c>
    </row>
    <row r="206" spans="1:17" ht="18.75" x14ac:dyDescent="0.25">
      <c r="A206" s="289">
        <v>198</v>
      </c>
      <c r="B206" s="234">
        <v>88864</v>
      </c>
      <c r="C206" s="291" t="s">
        <v>1281</v>
      </c>
      <c r="D206" s="292">
        <v>18</v>
      </c>
      <c r="E206" s="292">
        <v>3</v>
      </c>
      <c r="F206" s="292">
        <v>0</v>
      </c>
      <c r="G206" s="292">
        <v>4</v>
      </c>
      <c r="H206" s="292" t="s">
        <v>484</v>
      </c>
      <c r="I206" s="292">
        <v>10</v>
      </c>
      <c r="J206" s="292">
        <v>0</v>
      </c>
      <c r="K206" s="292" t="s">
        <v>431</v>
      </c>
      <c r="L206" s="292">
        <v>7</v>
      </c>
      <c r="M206" s="288" t="s">
        <v>775</v>
      </c>
      <c r="N206" s="293" t="s">
        <v>1577</v>
      </c>
      <c r="O206" s="294" t="s">
        <v>1578</v>
      </c>
      <c r="P206" s="297">
        <v>24152467778</v>
      </c>
      <c r="Q206" s="297">
        <v>22269117175556</v>
      </c>
    </row>
    <row r="207" spans="1:17" ht="18.75" x14ac:dyDescent="0.25">
      <c r="A207" s="289">
        <v>199</v>
      </c>
      <c r="B207" s="95">
        <v>355107</v>
      </c>
      <c r="C207" s="291" t="s">
        <v>518</v>
      </c>
      <c r="D207" s="292">
        <v>6</v>
      </c>
      <c r="E207" s="292">
        <v>0</v>
      </c>
      <c r="F207" s="292">
        <v>0</v>
      </c>
      <c r="G207" s="292">
        <v>0</v>
      </c>
      <c r="H207" s="292" t="s">
        <v>484</v>
      </c>
      <c r="I207" s="292">
        <v>4</v>
      </c>
      <c r="J207" s="292">
        <v>0</v>
      </c>
      <c r="K207" s="292" t="s">
        <v>431</v>
      </c>
      <c r="L207" s="292">
        <v>7</v>
      </c>
      <c r="M207" s="288" t="s">
        <v>881</v>
      </c>
      <c r="N207" s="293" t="s">
        <v>686</v>
      </c>
      <c r="O207" s="294" t="s">
        <v>1404</v>
      </c>
      <c r="P207" s="297">
        <v>39341375</v>
      </c>
      <c r="Q207" s="297" t="s">
        <v>1631</v>
      </c>
    </row>
    <row r="208" spans="1:17" ht="18.75" x14ac:dyDescent="0.25">
      <c r="A208" s="289">
        <v>200</v>
      </c>
      <c r="B208" s="290">
        <v>401315</v>
      </c>
      <c r="C208" s="291" t="s">
        <v>774</v>
      </c>
      <c r="D208" s="292">
        <v>7</v>
      </c>
      <c r="E208" s="292">
        <v>0</v>
      </c>
      <c r="F208" s="292">
        <v>0</v>
      </c>
      <c r="G208" s="292">
        <v>1</v>
      </c>
      <c r="H208" s="292" t="s">
        <v>484</v>
      </c>
      <c r="I208" s="292">
        <v>4</v>
      </c>
      <c r="J208" s="292">
        <v>0</v>
      </c>
      <c r="K208" s="292" t="s">
        <v>431</v>
      </c>
      <c r="L208" s="292">
        <v>6</v>
      </c>
      <c r="M208" s="288" t="s">
        <v>1240</v>
      </c>
      <c r="N208" s="293" t="s">
        <v>1256</v>
      </c>
      <c r="O208" s="294" t="s">
        <v>1455</v>
      </c>
      <c r="P208" s="297">
        <v>11103625</v>
      </c>
      <c r="Q208" s="297">
        <v>99286615625</v>
      </c>
    </row>
    <row r="209" spans="1:17" ht="18.75" x14ac:dyDescent="0.25">
      <c r="A209" s="289">
        <v>201</v>
      </c>
      <c r="B209" s="290">
        <v>743701</v>
      </c>
      <c r="C209" s="291" t="s">
        <v>811</v>
      </c>
      <c r="D209" s="292">
        <v>10</v>
      </c>
      <c r="E209" s="292">
        <v>0</v>
      </c>
      <c r="F209" s="292">
        <v>0</v>
      </c>
      <c r="G209" s="292">
        <v>0</v>
      </c>
      <c r="H209" s="292" t="s">
        <v>484</v>
      </c>
      <c r="I209" s="292">
        <v>8</v>
      </c>
      <c r="J209" s="292">
        <v>0</v>
      </c>
      <c r="K209" s="292" t="s">
        <v>431</v>
      </c>
      <c r="L209" s="292">
        <v>6</v>
      </c>
      <c r="M209" s="288" t="s">
        <v>775</v>
      </c>
      <c r="N209" s="293" t="s">
        <v>775</v>
      </c>
      <c r="O209" s="294" t="s">
        <v>1441</v>
      </c>
      <c r="P209" s="297">
        <v>116768</v>
      </c>
      <c r="Q209" s="298">
        <v>109296</v>
      </c>
    </row>
    <row r="210" spans="1:17" ht="18.75" x14ac:dyDescent="0.25">
      <c r="A210" s="289">
        <v>202</v>
      </c>
      <c r="B210" s="290">
        <v>358283</v>
      </c>
      <c r="C210" s="291" t="s">
        <v>509</v>
      </c>
      <c r="D210" s="292">
        <v>8</v>
      </c>
      <c r="E210" s="292">
        <v>0</v>
      </c>
      <c r="F210" s="292">
        <v>0</v>
      </c>
      <c r="G210" s="292">
        <v>0</v>
      </c>
      <c r="H210" s="292" t="s">
        <v>484</v>
      </c>
      <c r="I210" s="292">
        <v>7</v>
      </c>
      <c r="J210" s="292">
        <v>0</v>
      </c>
      <c r="K210" s="292" t="s">
        <v>431</v>
      </c>
      <c r="L210" s="292">
        <v>6</v>
      </c>
      <c r="M210" s="288" t="s">
        <v>1228</v>
      </c>
      <c r="N210" s="293" t="s">
        <v>1229</v>
      </c>
      <c r="O210" s="294" t="s">
        <v>1427</v>
      </c>
      <c r="P210" s="297">
        <v>3693767</v>
      </c>
      <c r="Q210" s="297">
        <v>3154023665</v>
      </c>
    </row>
    <row r="211" spans="1:17" ht="18.75" x14ac:dyDescent="0.25">
      <c r="A211" s="289">
        <v>203</v>
      </c>
      <c r="B211" s="290">
        <v>127704</v>
      </c>
      <c r="C211" s="291" t="s">
        <v>1714</v>
      </c>
      <c r="D211" s="456">
        <v>41</v>
      </c>
      <c r="E211" s="456">
        <v>0</v>
      </c>
      <c r="F211" s="456">
        <v>0</v>
      </c>
      <c r="G211" s="456">
        <v>0</v>
      </c>
      <c r="H211" s="456" t="s">
        <v>484</v>
      </c>
      <c r="I211" s="456">
        <v>10</v>
      </c>
      <c r="J211" s="456">
        <v>0</v>
      </c>
      <c r="K211" s="456" t="s">
        <v>431</v>
      </c>
      <c r="L211" s="456">
        <v>6</v>
      </c>
      <c r="M211" s="457" t="s">
        <v>1257</v>
      </c>
      <c r="N211" s="293" t="s">
        <v>1258</v>
      </c>
      <c r="O211" s="458" t="s">
        <v>1456</v>
      </c>
      <c r="P211" s="297">
        <v>597264</v>
      </c>
      <c r="Q211" s="297">
        <v>52904746</v>
      </c>
    </row>
    <row r="212" spans="1:17" ht="18.75" x14ac:dyDescent="0.25">
      <c r="A212" s="289">
        <v>204</v>
      </c>
      <c r="B212" s="290">
        <v>453944</v>
      </c>
      <c r="C212" s="291" t="s">
        <v>519</v>
      </c>
      <c r="D212" s="456">
        <v>2</v>
      </c>
      <c r="E212" s="456">
        <v>0</v>
      </c>
      <c r="F212" s="456">
        <v>0</v>
      </c>
      <c r="G212" s="456">
        <v>0</v>
      </c>
      <c r="H212" s="456" t="s">
        <v>484</v>
      </c>
      <c r="I212" s="456">
        <v>0</v>
      </c>
      <c r="J212" s="456">
        <v>0</v>
      </c>
      <c r="K212" s="456" t="s">
        <v>833</v>
      </c>
      <c r="L212" s="456">
        <v>6</v>
      </c>
      <c r="M212" s="457" t="s">
        <v>1632</v>
      </c>
      <c r="N212" s="293" t="s">
        <v>1633</v>
      </c>
      <c r="O212" s="458" t="s">
        <v>1634</v>
      </c>
      <c r="P212" s="298" t="s">
        <v>1635</v>
      </c>
      <c r="Q212" s="298">
        <v>113995</v>
      </c>
    </row>
    <row r="213" spans="1:17" ht="18.75" x14ac:dyDescent="0.25">
      <c r="A213" s="289">
        <v>205</v>
      </c>
      <c r="B213" s="290">
        <v>453951</v>
      </c>
      <c r="C213" s="291" t="s">
        <v>1346</v>
      </c>
      <c r="D213" s="456">
        <v>9</v>
      </c>
      <c r="E213" s="456">
        <v>0</v>
      </c>
      <c r="F213" s="456">
        <v>0</v>
      </c>
      <c r="G213" s="456">
        <v>0</v>
      </c>
      <c r="H213" s="456" t="s">
        <v>484</v>
      </c>
      <c r="I213" s="456">
        <v>0</v>
      </c>
      <c r="J213" s="456">
        <v>0</v>
      </c>
      <c r="K213" s="456" t="s">
        <v>833</v>
      </c>
      <c r="L213" s="456">
        <v>6</v>
      </c>
      <c r="M213" s="457" t="s">
        <v>1632</v>
      </c>
      <c r="N213" s="293" t="s">
        <v>1633</v>
      </c>
      <c r="O213" s="458" t="s">
        <v>1634</v>
      </c>
      <c r="P213" s="297">
        <v>185674</v>
      </c>
      <c r="Q213" s="298">
        <v>147490</v>
      </c>
    </row>
    <row r="214" spans="1:17" ht="18.75" x14ac:dyDescent="0.25">
      <c r="A214" s="289">
        <v>206</v>
      </c>
      <c r="B214" s="290">
        <v>449686</v>
      </c>
      <c r="C214" s="291" t="s">
        <v>485</v>
      </c>
      <c r="D214" s="456">
        <v>0</v>
      </c>
      <c r="E214" s="456">
        <v>0</v>
      </c>
      <c r="F214" s="456">
        <v>0</v>
      </c>
      <c r="G214" s="456">
        <v>0</v>
      </c>
      <c r="H214" s="456" t="s">
        <v>487</v>
      </c>
      <c r="I214" s="456">
        <v>8</v>
      </c>
      <c r="J214" s="456">
        <v>0</v>
      </c>
      <c r="K214" s="456" t="s">
        <v>431</v>
      </c>
      <c r="L214" s="456">
        <v>6</v>
      </c>
      <c r="M214" s="457" t="s">
        <v>775</v>
      </c>
      <c r="N214" s="293" t="s">
        <v>1268</v>
      </c>
      <c r="O214" s="458" t="s">
        <v>1468</v>
      </c>
      <c r="P214" s="297">
        <v>55688125</v>
      </c>
      <c r="Q214" s="298">
        <v>51415</v>
      </c>
    </row>
    <row r="215" spans="1:17" ht="18.75" x14ac:dyDescent="0.25">
      <c r="A215" s="289">
        <v>207</v>
      </c>
      <c r="B215" s="290">
        <v>741009</v>
      </c>
      <c r="C215" s="291" t="s">
        <v>772</v>
      </c>
      <c r="D215" s="456">
        <v>1</v>
      </c>
      <c r="E215" s="456">
        <v>0</v>
      </c>
      <c r="F215" s="456">
        <v>0</v>
      </c>
      <c r="G215" s="456">
        <v>0</v>
      </c>
      <c r="H215" s="456" t="s">
        <v>484</v>
      </c>
      <c r="I215" s="456">
        <v>0</v>
      </c>
      <c r="J215" s="456">
        <v>0</v>
      </c>
      <c r="K215" s="456" t="s">
        <v>833</v>
      </c>
      <c r="L215" s="456">
        <v>6</v>
      </c>
      <c r="M215" s="457" t="s">
        <v>1238</v>
      </c>
      <c r="N215" s="293" t="s">
        <v>1239</v>
      </c>
      <c r="O215" s="458" t="s">
        <v>1438</v>
      </c>
      <c r="P215" s="298" t="s">
        <v>1630</v>
      </c>
      <c r="Q215" s="298">
        <v>132121</v>
      </c>
    </row>
    <row r="216" spans="1:17" ht="18.75" x14ac:dyDescent="0.25">
      <c r="A216" s="289">
        <v>208</v>
      </c>
      <c r="B216" s="290">
        <v>426965</v>
      </c>
      <c r="C216" s="291" t="s">
        <v>1715</v>
      </c>
      <c r="D216" s="456">
        <v>38</v>
      </c>
      <c r="E216" s="456">
        <v>0</v>
      </c>
      <c r="F216" s="456">
        <v>0</v>
      </c>
      <c r="G216" s="456">
        <v>0</v>
      </c>
      <c r="H216" s="456" t="s">
        <v>487</v>
      </c>
      <c r="I216" s="456">
        <v>63</v>
      </c>
      <c r="J216" s="456">
        <v>0</v>
      </c>
      <c r="K216" s="456" t="s">
        <v>431</v>
      </c>
      <c r="L216" s="456" t="s">
        <v>486</v>
      </c>
      <c r="M216" s="457" t="s">
        <v>1259</v>
      </c>
      <c r="N216" s="293" t="s">
        <v>1261</v>
      </c>
      <c r="O216" s="458" t="s">
        <v>1459</v>
      </c>
      <c r="P216" s="297">
        <v>173622244</v>
      </c>
      <c r="Q216" s="297">
        <v>153783087885</v>
      </c>
    </row>
    <row r="217" spans="1:17" ht="18.75" x14ac:dyDescent="0.25">
      <c r="A217" s="289">
        <v>209</v>
      </c>
      <c r="B217" s="290">
        <v>409243</v>
      </c>
      <c r="C217" s="291" t="s">
        <v>519</v>
      </c>
      <c r="D217" s="456">
        <v>6</v>
      </c>
      <c r="E217" s="456">
        <v>4</v>
      </c>
      <c r="F217" s="456">
        <v>0</v>
      </c>
      <c r="G217" s="456">
        <v>0</v>
      </c>
      <c r="H217" s="456" t="s">
        <v>484</v>
      </c>
      <c r="I217" s="456">
        <v>1</v>
      </c>
      <c r="J217" s="456">
        <v>0</v>
      </c>
      <c r="K217" s="456" t="s">
        <v>431</v>
      </c>
      <c r="L217" s="456">
        <v>6</v>
      </c>
      <c r="M217" s="457" t="s">
        <v>1262</v>
      </c>
      <c r="N217" s="293" t="s">
        <v>1263</v>
      </c>
      <c r="O217" s="458" t="s">
        <v>1461</v>
      </c>
      <c r="P217" s="297">
        <v>731651667</v>
      </c>
      <c r="Q217" s="297">
        <v>682501048333</v>
      </c>
    </row>
    <row r="218" spans="1:17" ht="18.75" x14ac:dyDescent="0.25">
      <c r="A218" s="289">
        <v>210</v>
      </c>
      <c r="B218" s="290">
        <v>504423</v>
      </c>
      <c r="C218" s="291" t="s">
        <v>1712</v>
      </c>
      <c r="D218" s="456">
        <v>152</v>
      </c>
      <c r="E218" s="456">
        <v>0</v>
      </c>
      <c r="F218" s="456">
        <v>0</v>
      </c>
      <c r="G218" s="456">
        <v>30</v>
      </c>
      <c r="H218" s="456" t="s">
        <v>484</v>
      </c>
      <c r="I218" s="456">
        <v>40</v>
      </c>
      <c r="J218" s="456">
        <v>0</v>
      </c>
      <c r="K218" s="456" t="s">
        <v>431</v>
      </c>
      <c r="L218" s="456">
        <v>6</v>
      </c>
      <c r="M218" s="457" t="s">
        <v>1236</v>
      </c>
      <c r="N218" s="293" t="s">
        <v>1237</v>
      </c>
      <c r="O218" s="458" t="s">
        <v>1435</v>
      </c>
      <c r="P218" s="297">
        <v>2782537</v>
      </c>
      <c r="Q218" s="298">
        <v>2373</v>
      </c>
    </row>
    <row r="219" spans="1:17" ht="18.75" x14ac:dyDescent="0.25">
      <c r="A219" s="289">
        <v>211</v>
      </c>
      <c r="B219" s="290">
        <v>127639</v>
      </c>
      <c r="C219" s="291" t="s">
        <v>776</v>
      </c>
      <c r="D219" s="456">
        <v>4</v>
      </c>
      <c r="E219" s="456">
        <v>0</v>
      </c>
      <c r="F219" s="456">
        <v>0</v>
      </c>
      <c r="G219" s="456">
        <v>0</v>
      </c>
      <c r="H219" s="456" t="s">
        <v>484</v>
      </c>
      <c r="I219" s="456">
        <v>0</v>
      </c>
      <c r="J219" s="456">
        <v>0</v>
      </c>
      <c r="K219" s="456" t="s">
        <v>431</v>
      </c>
      <c r="L219" s="456" t="s">
        <v>486</v>
      </c>
      <c r="M219" s="457" t="s">
        <v>1240</v>
      </c>
      <c r="N219" s="293" t="s">
        <v>1478</v>
      </c>
      <c r="O219" s="458" t="s">
        <v>1636</v>
      </c>
      <c r="P219" s="298">
        <v>198</v>
      </c>
      <c r="Q219" s="298" t="s">
        <v>1687</v>
      </c>
    </row>
    <row r="220" spans="1:17" ht="18.75" x14ac:dyDescent="0.25">
      <c r="A220" s="289">
        <v>212</v>
      </c>
      <c r="B220" s="290">
        <v>407569</v>
      </c>
      <c r="C220" s="291" t="s">
        <v>519</v>
      </c>
      <c r="D220" s="456">
        <v>2</v>
      </c>
      <c r="E220" s="456">
        <v>0</v>
      </c>
      <c r="F220" s="456">
        <v>3</v>
      </c>
      <c r="G220" s="456">
        <v>0</v>
      </c>
      <c r="H220" s="456" t="s">
        <v>484</v>
      </c>
      <c r="I220" s="456">
        <v>2</v>
      </c>
      <c r="J220" s="456">
        <v>0</v>
      </c>
      <c r="K220" s="456" t="s">
        <v>431</v>
      </c>
      <c r="L220" s="456" t="s">
        <v>486</v>
      </c>
      <c r="M220" s="457" t="s">
        <v>1240</v>
      </c>
      <c r="N220" s="293" t="s">
        <v>1637</v>
      </c>
      <c r="O220" s="458" t="s">
        <v>1638</v>
      </c>
      <c r="P220" s="297">
        <v>202296</v>
      </c>
      <c r="Q220" s="298">
        <v>178080</v>
      </c>
    </row>
    <row r="221" spans="1:17" ht="18.75" x14ac:dyDescent="0.25">
      <c r="A221" s="289">
        <v>213</v>
      </c>
      <c r="B221" s="290">
        <v>159368</v>
      </c>
      <c r="C221" s="291" t="s">
        <v>776</v>
      </c>
      <c r="D221" s="456">
        <v>4</v>
      </c>
      <c r="E221" s="456">
        <v>0</v>
      </c>
      <c r="F221" s="456">
        <v>0</v>
      </c>
      <c r="G221" s="456">
        <v>0</v>
      </c>
      <c r="H221" s="456" t="s">
        <v>487</v>
      </c>
      <c r="I221" s="456">
        <v>2</v>
      </c>
      <c r="J221" s="456">
        <v>0</v>
      </c>
      <c r="K221" s="456" t="s">
        <v>431</v>
      </c>
      <c r="L221" s="456" t="s">
        <v>486</v>
      </c>
      <c r="M221" s="457" t="s">
        <v>1238</v>
      </c>
      <c r="N221" s="293" t="s">
        <v>1238</v>
      </c>
      <c r="O221" s="458" t="s">
        <v>1639</v>
      </c>
      <c r="P221" s="297">
        <v>27866</v>
      </c>
      <c r="Q221" s="297">
        <v>196847897</v>
      </c>
    </row>
    <row r="222" spans="1:17" ht="18.75" x14ac:dyDescent="0.25">
      <c r="A222" s="289">
        <v>214</v>
      </c>
      <c r="B222" s="290">
        <v>6833</v>
      </c>
      <c r="C222" s="291" t="s">
        <v>503</v>
      </c>
      <c r="D222" s="456">
        <v>16</v>
      </c>
      <c r="E222" s="456">
        <v>0</v>
      </c>
      <c r="F222" s="456">
        <v>0</v>
      </c>
      <c r="G222" s="456">
        <v>0</v>
      </c>
      <c r="H222" s="456" t="s">
        <v>484</v>
      </c>
      <c r="I222" s="456">
        <v>3</v>
      </c>
      <c r="J222" s="456">
        <v>0</v>
      </c>
      <c r="K222" s="456" t="s">
        <v>431</v>
      </c>
      <c r="L222" s="456">
        <v>7</v>
      </c>
      <c r="M222" s="457" t="s">
        <v>788</v>
      </c>
      <c r="N222" s="293" t="s">
        <v>1688</v>
      </c>
      <c r="O222" s="458" t="s">
        <v>1689</v>
      </c>
      <c r="P222" s="297">
        <v>40076667</v>
      </c>
      <c r="Q222" s="297">
        <v>35114777143</v>
      </c>
    </row>
    <row r="223" spans="1:17" ht="18.75" x14ac:dyDescent="0.25">
      <c r="A223" s="289">
        <v>215</v>
      </c>
      <c r="B223" s="290">
        <v>177899</v>
      </c>
      <c r="C223" s="291" t="s">
        <v>1697</v>
      </c>
      <c r="D223" s="456">
        <v>2563</v>
      </c>
      <c r="E223" s="456">
        <v>0</v>
      </c>
      <c r="F223" s="456">
        <v>0</v>
      </c>
      <c r="G223" s="456">
        <v>1020</v>
      </c>
      <c r="H223" s="456" t="s">
        <v>484</v>
      </c>
      <c r="I223" s="456">
        <v>212</v>
      </c>
      <c r="J223" s="456">
        <v>0</v>
      </c>
      <c r="K223" s="456" t="s">
        <v>431</v>
      </c>
      <c r="L223" s="456" t="s">
        <v>486</v>
      </c>
      <c r="M223" s="457" t="s">
        <v>805</v>
      </c>
      <c r="N223" s="293" t="s">
        <v>806</v>
      </c>
      <c r="O223" s="458" t="s">
        <v>1341</v>
      </c>
      <c r="P223" s="297">
        <v>1516853</v>
      </c>
      <c r="Q223" s="297">
        <v>1373347158</v>
      </c>
    </row>
    <row r="224" spans="1:17" ht="18.75" x14ac:dyDescent="0.25">
      <c r="A224" s="289">
        <v>216</v>
      </c>
      <c r="B224" s="290">
        <v>145839</v>
      </c>
      <c r="C224" s="291" t="s">
        <v>776</v>
      </c>
      <c r="D224" s="456">
        <v>4</v>
      </c>
      <c r="E224" s="456">
        <v>0</v>
      </c>
      <c r="F224" s="456">
        <v>3</v>
      </c>
      <c r="G224" s="456">
        <v>0</v>
      </c>
      <c r="H224" s="456" t="s">
        <v>484</v>
      </c>
      <c r="I224" s="456">
        <v>4</v>
      </c>
      <c r="J224" s="456">
        <v>0</v>
      </c>
      <c r="K224" s="456" t="s">
        <v>431</v>
      </c>
      <c r="L224" s="456">
        <v>6</v>
      </c>
      <c r="M224" s="457" t="s">
        <v>1243</v>
      </c>
      <c r="N224" s="293" t="s">
        <v>437</v>
      </c>
      <c r="O224" s="458" t="s">
        <v>1444</v>
      </c>
      <c r="P224" s="297">
        <v>148865714</v>
      </c>
      <c r="Q224" s="297" t="s">
        <v>1713</v>
      </c>
    </row>
    <row r="225" spans="1:17" ht="18.75" x14ac:dyDescent="0.25">
      <c r="A225" s="289">
        <v>217</v>
      </c>
      <c r="B225" s="290">
        <v>127605</v>
      </c>
      <c r="C225" s="291" t="s">
        <v>782</v>
      </c>
      <c r="D225" s="456">
        <v>5</v>
      </c>
      <c r="E225" s="456">
        <v>0</v>
      </c>
      <c r="F225" s="456">
        <v>3</v>
      </c>
      <c r="G225" s="456">
        <v>5</v>
      </c>
      <c r="H225" s="456" t="s">
        <v>484</v>
      </c>
      <c r="I225" s="456">
        <v>2</v>
      </c>
      <c r="J225" s="456">
        <v>0</v>
      </c>
      <c r="K225" s="456" t="s">
        <v>431</v>
      </c>
      <c r="L225" s="456">
        <v>7</v>
      </c>
      <c r="M225" s="457" t="s">
        <v>1640</v>
      </c>
      <c r="N225" s="293" t="s">
        <v>1477</v>
      </c>
      <c r="O225" s="458" t="s">
        <v>1641</v>
      </c>
      <c r="P225" s="297">
        <v>37666667</v>
      </c>
      <c r="Q225" s="297">
        <v>35463666667</v>
      </c>
    </row>
    <row r="226" spans="1:17" ht="30" x14ac:dyDescent="0.25">
      <c r="A226" s="289">
        <v>218</v>
      </c>
      <c r="B226" s="290">
        <v>402685</v>
      </c>
      <c r="C226" s="291" t="s">
        <v>519</v>
      </c>
      <c r="D226" s="456">
        <v>2</v>
      </c>
      <c r="E226" s="456">
        <v>0</v>
      </c>
      <c r="F226" s="456">
        <v>1</v>
      </c>
      <c r="G226" s="456">
        <v>0</v>
      </c>
      <c r="H226" s="456" t="s">
        <v>484</v>
      </c>
      <c r="I226" s="456">
        <v>2</v>
      </c>
      <c r="J226" s="456">
        <v>0</v>
      </c>
      <c r="K226" s="456" t="s">
        <v>431</v>
      </c>
      <c r="L226" s="456">
        <v>6</v>
      </c>
      <c r="M226" s="457" t="s">
        <v>1240</v>
      </c>
      <c r="N226" s="293" t="s">
        <v>1642</v>
      </c>
      <c r="O226" s="458" t="s">
        <v>1643</v>
      </c>
      <c r="P226" s="297">
        <v>291086667</v>
      </c>
      <c r="Q226" s="297">
        <v>261862206667</v>
      </c>
    </row>
    <row r="227" spans="1:17" ht="18.75" x14ac:dyDescent="0.25">
      <c r="A227" s="289">
        <v>219</v>
      </c>
      <c r="B227" s="290">
        <v>744220</v>
      </c>
      <c r="C227" s="291" t="s">
        <v>485</v>
      </c>
      <c r="D227" s="456">
        <v>0</v>
      </c>
      <c r="E227" s="456">
        <v>0</v>
      </c>
      <c r="F227" s="456">
        <v>8</v>
      </c>
      <c r="G227" s="456">
        <v>2</v>
      </c>
      <c r="H227" s="456" t="s">
        <v>484</v>
      </c>
      <c r="I227" s="456">
        <v>4</v>
      </c>
      <c r="J227" s="456">
        <v>0</v>
      </c>
      <c r="K227" s="456" t="s">
        <v>431</v>
      </c>
      <c r="L227" s="456">
        <v>8</v>
      </c>
      <c r="M227" s="457" t="s">
        <v>1644</v>
      </c>
      <c r="N227" s="293" t="s">
        <v>1476</v>
      </c>
      <c r="O227" s="458" t="s">
        <v>1645</v>
      </c>
      <c r="P227" s="297">
        <v>112407</v>
      </c>
      <c r="Q227" s="298">
        <v>95574</v>
      </c>
    </row>
    <row r="228" spans="1:17" ht="18.75" x14ac:dyDescent="0.25">
      <c r="A228" s="289">
        <v>220</v>
      </c>
      <c r="B228" s="290">
        <v>744863</v>
      </c>
      <c r="C228" s="291" t="s">
        <v>1718</v>
      </c>
      <c r="D228" s="456">
        <v>119</v>
      </c>
      <c r="E228" s="456">
        <v>0</v>
      </c>
      <c r="F228" s="456">
        <v>0</v>
      </c>
      <c r="G228" s="456">
        <v>0</v>
      </c>
      <c r="H228" s="456" t="s">
        <v>484</v>
      </c>
      <c r="I228" s="456">
        <v>105</v>
      </c>
      <c r="J228" s="456">
        <v>0</v>
      </c>
      <c r="K228" s="456" t="s">
        <v>431</v>
      </c>
      <c r="L228" s="456">
        <v>6</v>
      </c>
      <c r="M228" s="457" t="s">
        <v>810</v>
      </c>
      <c r="N228" s="293" t="s">
        <v>1646</v>
      </c>
      <c r="O228" s="458" t="s">
        <v>1647</v>
      </c>
      <c r="P228" s="297">
        <v>49657035</v>
      </c>
      <c r="Q228" s="297">
        <v>43352432655</v>
      </c>
    </row>
    <row r="229" spans="1:17" ht="18.75" x14ac:dyDescent="0.25">
      <c r="A229" s="289">
        <v>221</v>
      </c>
      <c r="B229" s="290">
        <v>361139</v>
      </c>
      <c r="C229" s="291" t="s">
        <v>485</v>
      </c>
      <c r="D229" s="456">
        <v>0</v>
      </c>
      <c r="E229" s="456">
        <v>0</v>
      </c>
      <c r="F229" s="456">
        <v>7</v>
      </c>
      <c r="G229" s="456">
        <v>5</v>
      </c>
      <c r="H229" s="456" t="s">
        <v>484</v>
      </c>
      <c r="I229" s="456">
        <v>1</v>
      </c>
      <c r="J229" s="456">
        <v>0</v>
      </c>
      <c r="K229" s="456" t="s">
        <v>431</v>
      </c>
      <c r="L229" s="456">
        <v>6</v>
      </c>
      <c r="M229" s="457" t="s">
        <v>1648</v>
      </c>
      <c r="N229" s="293" t="s">
        <v>1649</v>
      </c>
      <c r="O229" s="458" t="s">
        <v>1650</v>
      </c>
      <c r="P229" s="297">
        <v>884468571</v>
      </c>
      <c r="Q229" s="297">
        <v>570340285714</v>
      </c>
    </row>
    <row r="230" spans="1:17" ht="18.75" x14ac:dyDescent="0.25">
      <c r="A230" s="289">
        <v>222</v>
      </c>
      <c r="B230" s="290">
        <v>55442</v>
      </c>
      <c r="C230" s="291" t="s">
        <v>519</v>
      </c>
      <c r="D230" s="456">
        <v>6</v>
      </c>
      <c r="E230" s="456">
        <v>4</v>
      </c>
      <c r="F230" s="456">
        <v>0</v>
      </c>
      <c r="G230" s="456">
        <v>0</v>
      </c>
      <c r="H230" s="456" t="s">
        <v>484</v>
      </c>
      <c r="I230" s="456">
        <v>2</v>
      </c>
      <c r="J230" s="456">
        <v>0</v>
      </c>
      <c r="K230" s="456" t="s">
        <v>431</v>
      </c>
      <c r="L230" s="456">
        <v>7</v>
      </c>
      <c r="M230" s="457" t="s">
        <v>891</v>
      </c>
      <c r="N230" s="293" t="s">
        <v>423</v>
      </c>
      <c r="O230" s="458" t="s">
        <v>1629</v>
      </c>
      <c r="P230" s="297">
        <v>230066667</v>
      </c>
      <c r="Q230" s="297">
        <v>209044033333</v>
      </c>
    </row>
    <row r="231" spans="1:17" ht="18.75" x14ac:dyDescent="0.25">
      <c r="A231" s="289">
        <v>223</v>
      </c>
      <c r="B231" s="290">
        <v>16584</v>
      </c>
      <c r="C231" s="291" t="s">
        <v>518</v>
      </c>
      <c r="D231" s="456">
        <v>6</v>
      </c>
      <c r="E231" s="456">
        <v>0</v>
      </c>
      <c r="F231" s="456">
        <v>0</v>
      </c>
      <c r="G231" s="456">
        <v>0</v>
      </c>
      <c r="H231" s="456" t="s">
        <v>484</v>
      </c>
      <c r="I231" s="456">
        <v>6</v>
      </c>
      <c r="J231" s="456">
        <v>0</v>
      </c>
      <c r="K231" s="456" t="s">
        <v>431</v>
      </c>
      <c r="L231" s="456" t="s">
        <v>486</v>
      </c>
      <c r="M231" s="457" t="s">
        <v>891</v>
      </c>
      <c r="N231" s="293" t="s">
        <v>1220</v>
      </c>
      <c r="O231" s="458" t="s">
        <v>1418</v>
      </c>
      <c r="P231" s="297">
        <v>115321333</v>
      </c>
      <c r="Q231" s="297">
        <v>107074889333</v>
      </c>
    </row>
    <row r="232" spans="1:17" ht="18.75" x14ac:dyDescent="0.25">
      <c r="A232" s="289">
        <v>224</v>
      </c>
      <c r="B232" s="290">
        <v>300798</v>
      </c>
      <c r="C232" s="291" t="s">
        <v>782</v>
      </c>
      <c r="D232" s="456">
        <v>5</v>
      </c>
      <c r="E232" s="456">
        <v>0</v>
      </c>
      <c r="F232" s="456">
        <v>4</v>
      </c>
      <c r="G232" s="456">
        <v>10</v>
      </c>
      <c r="H232" s="456" t="s">
        <v>487</v>
      </c>
      <c r="I232" s="456">
        <v>2</v>
      </c>
      <c r="J232" s="456">
        <v>0</v>
      </c>
      <c r="K232" s="456" t="s">
        <v>431</v>
      </c>
      <c r="L232" s="456">
        <v>7</v>
      </c>
      <c r="M232" s="457" t="s">
        <v>788</v>
      </c>
      <c r="N232" s="293" t="s">
        <v>1651</v>
      </c>
      <c r="O232" s="458" t="s">
        <v>1652</v>
      </c>
      <c r="P232" s="297">
        <v>27858</v>
      </c>
      <c r="Q232" s="297">
        <v>255156425</v>
      </c>
    </row>
    <row r="233" spans="1:17" ht="18.75" x14ac:dyDescent="0.25">
      <c r="A233" s="289">
        <v>225</v>
      </c>
      <c r="B233" s="290">
        <v>300780</v>
      </c>
      <c r="C233" s="291" t="s">
        <v>1281</v>
      </c>
      <c r="D233" s="456">
        <v>15</v>
      </c>
      <c r="E233" s="456">
        <v>0</v>
      </c>
      <c r="F233" s="456">
        <v>4</v>
      </c>
      <c r="G233" s="456">
        <v>10</v>
      </c>
      <c r="H233" s="456" t="s">
        <v>487</v>
      </c>
      <c r="I233" s="456">
        <v>2</v>
      </c>
      <c r="J233" s="456">
        <v>0</v>
      </c>
      <c r="K233" s="456" t="s">
        <v>431</v>
      </c>
      <c r="L233" s="456">
        <v>7</v>
      </c>
      <c r="M233" s="457" t="s">
        <v>788</v>
      </c>
      <c r="N233" s="293" t="s">
        <v>1653</v>
      </c>
      <c r="O233" s="458" t="s">
        <v>1654</v>
      </c>
      <c r="P233" s="297">
        <v>28352</v>
      </c>
      <c r="Q233" s="298" t="s">
        <v>1719</v>
      </c>
    </row>
    <row r="234" spans="1:17" ht="18.75" x14ac:dyDescent="0.25">
      <c r="A234" s="289">
        <v>226</v>
      </c>
      <c r="B234" s="290">
        <v>744049</v>
      </c>
      <c r="C234" s="291" t="s">
        <v>1678</v>
      </c>
      <c r="D234" s="456">
        <v>56</v>
      </c>
      <c r="E234" s="456">
        <v>0</v>
      </c>
      <c r="F234" s="456">
        <v>0</v>
      </c>
      <c r="G234" s="456">
        <v>0</v>
      </c>
      <c r="H234" s="456" t="s">
        <v>484</v>
      </c>
      <c r="I234" s="456">
        <v>35</v>
      </c>
      <c r="J234" s="456">
        <v>0</v>
      </c>
      <c r="K234" s="456" t="s">
        <v>431</v>
      </c>
      <c r="L234" s="456">
        <v>7</v>
      </c>
      <c r="M234" s="457" t="s">
        <v>1655</v>
      </c>
      <c r="N234" s="293" t="s">
        <v>1504</v>
      </c>
      <c r="O234" s="458" t="s">
        <v>1656</v>
      </c>
      <c r="P234" s="297">
        <v>66536981</v>
      </c>
      <c r="Q234" s="297">
        <v>59995651132</v>
      </c>
    </row>
    <row r="235" spans="1:17" ht="18.75" x14ac:dyDescent="0.25">
      <c r="A235" s="289">
        <v>227</v>
      </c>
      <c r="B235" s="290">
        <v>758539</v>
      </c>
      <c r="C235" s="291" t="s">
        <v>485</v>
      </c>
      <c r="D235" s="456">
        <v>0</v>
      </c>
      <c r="E235" s="456">
        <v>0</v>
      </c>
      <c r="F235" s="456">
        <v>10</v>
      </c>
      <c r="G235" s="456">
        <v>10</v>
      </c>
      <c r="H235" s="456" t="s">
        <v>484</v>
      </c>
      <c r="I235" s="456">
        <v>0</v>
      </c>
      <c r="J235" s="456">
        <v>0</v>
      </c>
      <c r="K235" s="456" t="s">
        <v>833</v>
      </c>
      <c r="L235" s="456">
        <v>7</v>
      </c>
      <c r="M235" s="457" t="s">
        <v>891</v>
      </c>
      <c r="N235" s="293" t="s">
        <v>1657</v>
      </c>
      <c r="O235" s="458" t="s">
        <v>1658</v>
      </c>
      <c r="P235" s="297">
        <v>854531667</v>
      </c>
      <c r="Q235" s="298" t="s">
        <v>1659</v>
      </c>
    </row>
    <row r="236" spans="1:17" ht="18.75" x14ac:dyDescent="0.25">
      <c r="A236" s="289">
        <v>228</v>
      </c>
      <c r="B236" s="290">
        <v>395343</v>
      </c>
      <c r="C236" s="291" t="s">
        <v>485</v>
      </c>
      <c r="D236" s="456">
        <v>0</v>
      </c>
      <c r="E236" s="456">
        <v>0</v>
      </c>
      <c r="F236" s="456">
        <v>0</v>
      </c>
      <c r="G236" s="456">
        <v>0</v>
      </c>
      <c r="H236" s="456" t="s">
        <v>484</v>
      </c>
      <c r="I236" s="456">
        <v>0</v>
      </c>
      <c r="J236" s="456">
        <v>0</v>
      </c>
      <c r="K236" s="456" t="s">
        <v>833</v>
      </c>
      <c r="L236" s="456">
        <v>7</v>
      </c>
      <c r="M236" s="457" t="s">
        <v>1221</v>
      </c>
      <c r="N236" s="293" t="s">
        <v>1567</v>
      </c>
      <c r="O236" s="458" t="s">
        <v>1568</v>
      </c>
      <c r="P236" s="298">
        <v>415</v>
      </c>
      <c r="Q236" s="298" t="s">
        <v>1419</v>
      </c>
    </row>
    <row r="237" spans="1:17" ht="18.75" x14ac:dyDescent="0.25">
      <c r="A237" s="289">
        <v>229</v>
      </c>
      <c r="B237" s="290">
        <v>395350</v>
      </c>
      <c r="C237" s="291" t="s">
        <v>485</v>
      </c>
      <c r="D237" s="456">
        <v>0</v>
      </c>
      <c r="E237" s="456">
        <v>0</v>
      </c>
      <c r="F237" s="456">
        <v>0</v>
      </c>
      <c r="G237" s="456">
        <v>0</v>
      </c>
      <c r="H237" s="456" t="s">
        <v>484</v>
      </c>
      <c r="I237" s="456">
        <v>0</v>
      </c>
      <c r="J237" s="456">
        <v>0</v>
      </c>
      <c r="K237" s="456" t="s">
        <v>833</v>
      </c>
      <c r="L237" s="456">
        <v>7</v>
      </c>
      <c r="M237" s="457" t="s">
        <v>1221</v>
      </c>
      <c r="N237" s="293" t="s">
        <v>1567</v>
      </c>
      <c r="O237" s="458" t="s">
        <v>1568</v>
      </c>
      <c r="P237" s="298">
        <v>415</v>
      </c>
      <c r="Q237" s="298" t="s">
        <v>1419</v>
      </c>
    </row>
    <row r="238" spans="1:17" ht="18.75" x14ac:dyDescent="0.25">
      <c r="A238" s="289">
        <v>230</v>
      </c>
      <c r="B238" s="290">
        <v>395368</v>
      </c>
      <c r="C238" s="291" t="s">
        <v>485</v>
      </c>
      <c r="D238" s="456">
        <v>0</v>
      </c>
      <c r="E238" s="456">
        <v>0</v>
      </c>
      <c r="F238" s="456">
        <v>0</v>
      </c>
      <c r="G238" s="456">
        <v>0</v>
      </c>
      <c r="H238" s="456" t="s">
        <v>484</v>
      </c>
      <c r="I238" s="456">
        <v>0</v>
      </c>
      <c r="J238" s="456">
        <v>0</v>
      </c>
      <c r="K238" s="456" t="s">
        <v>833</v>
      </c>
      <c r="L238" s="456">
        <v>7</v>
      </c>
      <c r="M238" s="457" t="s">
        <v>1221</v>
      </c>
      <c r="N238" s="293" t="s">
        <v>1569</v>
      </c>
      <c r="O238" s="458" t="s">
        <v>1570</v>
      </c>
      <c r="P238" s="298">
        <v>57</v>
      </c>
      <c r="Q238" s="298" t="s">
        <v>1420</v>
      </c>
    </row>
    <row r="239" spans="1:17" ht="18.75" x14ac:dyDescent="0.25">
      <c r="A239" s="289">
        <v>231</v>
      </c>
      <c r="B239" s="290">
        <v>395376</v>
      </c>
      <c r="C239" s="291" t="s">
        <v>485</v>
      </c>
      <c r="D239" s="456">
        <v>0</v>
      </c>
      <c r="E239" s="456">
        <v>0</v>
      </c>
      <c r="F239" s="456">
        <v>0</v>
      </c>
      <c r="G239" s="456">
        <v>0</v>
      </c>
      <c r="H239" s="456" t="s">
        <v>484</v>
      </c>
      <c r="I239" s="456">
        <v>0</v>
      </c>
      <c r="J239" s="456">
        <v>0</v>
      </c>
      <c r="K239" s="456" t="s">
        <v>833</v>
      </c>
      <c r="L239" s="456">
        <v>7</v>
      </c>
      <c r="M239" s="457" t="s">
        <v>1221</v>
      </c>
      <c r="N239" s="293" t="s">
        <v>1569</v>
      </c>
      <c r="O239" s="458" t="s">
        <v>1570</v>
      </c>
      <c r="P239" s="298">
        <v>57</v>
      </c>
      <c r="Q239" s="298" t="s">
        <v>1420</v>
      </c>
    </row>
    <row r="240" spans="1:17" ht="18.75" x14ac:dyDescent="0.25">
      <c r="A240" s="289">
        <v>232</v>
      </c>
      <c r="B240" s="290">
        <v>395384</v>
      </c>
      <c r="C240" s="291" t="s">
        <v>485</v>
      </c>
      <c r="D240" s="456">
        <v>0</v>
      </c>
      <c r="E240" s="456">
        <v>0</v>
      </c>
      <c r="F240" s="456">
        <v>0</v>
      </c>
      <c r="G240" s="456">
        <v>0</v>
      </c>
      <c r="H240" s="456" t="s">
        <v>484</v>
      </c>
      <c r="I240" s="456">
        <v>0</v>
      </c>
      <c r="J240" s="456">
        <v>0</v>
      </c>
      <c r="K240" s="456" t="s">
        <v>833</v>
      </c>
      <c r="L240" s="456">
        <v>7</v>
      </c>
      <c r="M240" s="457" t="s">
        <v>1221</v>
      </c>
      <c r="N240" s="293" t="s">
        <v>1569</v>
      </c>
      <c r="O240" s="458" t="s">
        <v>1570</v>
      </c>
      <c r="P240" s="298">
        <v>57</v>
      </c>
      <c r="Q240" s="298" t="s">
        <v>1420</v>
      </c>
    </row>
    <row r="241" spans="1:17" ht="18.75" x14ac:dyDescent="0.25">
      <c r="A241" s="289">
        <v>233</v>
      </c>
      <c r="B241" s="290">
        <v>128603</v>
      </c>
      <c r="C241" s="291" t="s">
        <v>772</v>
      </c>
      <c r="D241" s="456">
        <v>1</v>
      </c>
      <c r="E241" s="456">
        <v>0</v>
      </c>
      <c r="F241" s="456">
        <v>0</v>
      </c>
      <c r="G241" s="456">
        <v>0</v>
      </c>
      <c r="H241" s="456" t="s">
        <v>484</v>
      </c>
      <c r="I241" s="456">
        <v>0</v>
      </c>
      <c r="J241" s="456">
        <v>0</v>
      </c>
      <c r="K241" s="456" t="s">
        <v>833</v>
      </c>
      <c r="L241" s="456">
        <v>7</v>
      </c>
      <c r="M241" s="457" t="s">
        <v>788</v>
      </c>
      <c r="N241" s="293" t="s">
        <v>1269</v>
      </c>
      <c r="O241" s="458" t="s">
        <v>1421</v>
      </c>
      <c r="P241" s="298" t="s">
        <v>1628</v>
      </c>
      <c r="Q241" s="298">
        <v>25500</v>
      </c>
    </row>
    <row r="242" spans="1:17" ht="18.75" x14ac:dyDescent="0.25">
      <c r="A242" s="289">
        <v>234</v>
      </c>
      <c r="B242" s="290">
        <v>166801</v>
      </c>
      <c r="C242" s="291" t="s">
        <v>509</v>
      </c>
      <c r="D242" s="456">
        <v>34</v>
      </c>
      <c r="E242" s="456">
        <v>26</v>
      </c>
      <c r="F242" s="456">
        <v>0</v>
      </c>
      <c r="G242" s="456">
        <v>0</v>
      </c>
      <c r="H242" s="456" t="s">
        <v>484</v>
      </c>
      <c r="I242" s="456">
        <v>30</v>
      </c>
      <c r="J242" s="456">
        <v>0</v>
      </c>
      <c r="K242" s="456" t="s">
        <v>431</v>
      </c>
      <c r="L242" s="456" t="s">
        <v>486</v>
      </c>
      <c r="M242" s="457" t="s">
        <v>1224</v>
      </c>
      <c r="N242" s="293" t="s">
        <v>1225</v>
      </c>
      <c r="O242" s="458" t="s">
        <v>1422</v>
      </c>
      <c r="P242" s="297">
        <v>80630588</v>
      </c>
      <c r="Q242" s="297">
        <v>75305859412</v>
      </c>
    </row>
    <row r="243" spans="1:17" ht="30" x14ac:dyDescent="0.25">
      <c r="A243" s="289">
        <v>235</v>
      </c>
      <c r="B243" s="290">
        <v>22194</v>
      </c>
      <c r="C243" s="291" t="s">
        <v>519</v>
      </c>
      <c r="D243" s="456">
        <v>2</v>
      </c>
      <c r="E243" s="456">
        <v>0</v>
      </c>
      <c r="F243" s="456">
        <v>0</v>
      </c>
      <c r="G243" s="456">
        <v>0</v>
      </c>
      <c r="H243" s="456" t="s">
        <v>487</v>
      </c>
      <c r="I243" s="456">
        <v>0</v>
      </c>
      <c r="J243" s="456">
        <v>0</v>
      </c>
      <c r="K243" s="456" t="s">
        <v>833</v>
      </c>
      <c r="L243" s="456">
        <v>7</v>
      </c>
      <c r="M243" s="457" t="s">
        <v>788</v>
      </c>
      <c r="N243" s="293" t="s">
        <v>1226</v>
      </c>
      <c r="O243" s="458" t="s">
        <v>1423</v>
      </c>
      <c r="P243" s="297">
        <v>335375</v>
      </c>
      <c r="Q243" s="298" t="s">
        <v>1571</v>
      </c>
    </row>
    <row r="244" spans="1:17" ht="18.75" x14ac:dyDescent="0.25">
      <c r="A244" s="289">
        <v>236</v>
      </c>
      <c r="B244" s="290">
        <v>744049</v>
      </c>
      <c r="C244" s="291" t="s">
        <v>1678</v>
      </c>
      <c r="D244" s="456">
        <v>56</v>
      </c>
      <c r="E244" s="456">
        <v>0</v>
      </c>
      <c r="F244" s="456">
        <v>0</v>
      </c>
      <c r="G244" s="456">
        <v>0</v>
      </c>
      <c r="H244" s="456" t="s">
        <v>484</v>
      </c>
      <c r="I244" s="456">
        <v>35</v>
      </c>
      <c r="J244" s="456">
        <v>0</v>
      </c>
      <c r="K244" s="456" t="s">
        <v>431</v>
      </c>
      <c r="L244" s="456">
        <v>7</v>
      </c>
      <c r="M244" s="457" t="s">
        <v>1655</v>
      </c>
      <c r="N244" s="293" t="s">
        <v>1504</v>
      </c>
      <c r="O244" s="458" t="s">
        <v>1656</v>
      </c>
      <c r="P244" s="297">
        <v>66536981</v>
      </c>
      <c r="Q244" s="297">
        <v>59995651132</v>
      </c>
    </row>
    <row r="245" spans="1:17" ht="18.75" x14ac:dyDescent="0.25">
      <c r="A245" s="289">
        <v>237</v>
      </c>
      <c r="B245" s="290">
        <v>22186</v>
      </c>
      <c r="C245" s="291" t="s">
        <v>776</v>
      </c>
      <c r="D245" s="456">
        <v>4</v>
      </c>
      <c r="E245" s="456">
        <v>0</v>
      </c>
      <c r="F245" s="456">
        <v>0</v>
      </c>
      <c r="G245" s="456">
        <v>0</v>
      </c>
      <c r="H245" s="456" t="s">
        <v>487</v>
      </c>
      <c r="I245" s="456">
        <v>0</v>
      </c>
      <c r="J245" s="456">
        <v>0</v>
      </c>
      <c r="K245" s="456" t="s">
        <v>833</v>
      </c>
      <c r="L245" s="456">
        <v>7</v>
      </c>
      <c r="M245" s="457" t="s">
        <v>788</v>
      </c>
      <c r="N245" s="293" t="s">
        <v>1227</v>
      </c>
      <c r="O245" s="458" t="s">
        <v>1424</v>
      </c>
      <c r="P245" s="297">
        <v>11835</v>
      </c>
      <c r="Q245" s="298">
        <v>9636</v>
      </c>
    </row>
    <row r="246" spans="1:17" ht="18.75" x14ac:dyDescent="0.25">
      <c r="A246" s="289">
        <v>238</v>
      </c>
      <c r="B246" s="290">
        <v>657148</v>
      </c>
      <c r="C246" s="291" t="s">
        <v>1660</v>
      </c>
      <c r="D246" s="456">
        <v>0</v>
      </c>
      <c r="E246" s="456">
        <v>0</v>
      </c>
      <c r="F246" s="456">
        <v>0</v>
      </c>
      <c r="G246" s="456">
        <v>0</v>
      </c>
      <c r="H246" s="456" t="s">
        <v>487</v>
      </c>
      <c r="I246" s="456">
        <v>6</v>
      </c>
      <c r="J246" s="456">
        <v>0</v>
      </c>
      <c r="K246" s="456" t="s">
        <v>431</v>
      </c>
      <c r="L246" s="456" t="s">
        <v>486</v>
      </c>
      <c r="M246" s="457" t="s">
        <v>1661</v>
      </c>
      <c r="N246" s="293" t="s">
        <v>1662</v>
      </c>
      <c r="O246" s="458" t="s">
        <v>1663</v>
      </c>
      <c r="P246" s="297">
        <v>2375876</v>
      </c>
      <c r="Q246" s="298">
        <v>228545</v>
      </c>
    </row>
    <row r="247" spans="1:17" ht="18.75" x14ac:dyDescent="0.25">
      <c r="A247" s="289">
        <v>239</v>
      </c>
      <c r="B247" s="290">
        <v>73700</v>
      </c>
      <c r="C247" s="291" t="s">
        <v>519</v>
      </c>
      <c r="D247" s="456">
        <v>2</v>
      </c>
      <c r="E247" s="456">
        <v>0</v>
      </c>
      <c r="F247" s="456">
        <v>1</v>
      </c>
      <c r="G247" s="456">
        <v>0</v>
      </c>
      <c r="H247" s="456" t="s">
        <v>484</v>
      </c>
      <c r="I247" s="456">
        <v>0</v>
      </c>
      <c r="J247" s="456">
        <v>0</v>
      </c>
      <c r="K247" s="456" t="s">
        <v>431</v>
      </c>
      <c r="L247" s="456">
        <v>7</v>
      </c>
      <c r="M247" s="457" t="s">
        <v>1219</v>
      </c>
      <c r="N247" s="293" t="s">
        <v>1218</v>
      </c>
      <c r="O247" s="458" t="s">
        <v>1415</v>
      </c>
      <c r="P247" s="298" t="s">
        <v>1684</v>
      </c>
      <c r="Q247" s="298" t="s">
        <v>1591</v>
      </c>
    </row>
  </sheetData>
  <mergeCells count="5">
    <mergeCell ref="A1:B5"/>
    <mergeCell ref="C1:L3"/>
    <mergeCell ref="D4:L4"/>
    <mergeCell ref="D5:L5"/>
    <mergeCell ref="K7:L7"/>
  </mergeCells>
  <phoneticPr fontId="53" type="noConversion"/>
  <conditionalFormatting sqref="C9:C247">
    <cfRule type="cellIs" dxfId="22" priority="2" operator="equal">
      <formula>"0 cu"</formula>
    </cfRule>
    <cfRule type="cellIs" dxfId="21" priority="3" operator="equal">
      <formula>"DE BAJA"</formula>
    </cfRule>
    <cfRule type="cellIs" dxfId="20" priority="4" operator="equal">
      <formula>"A REPARAC"</formula>
    </cfRule>
  </conditionalFormatting>
  <conditionalFormatting sqref="N9:N247">
    <cfRule type="containsText" dxfId="19" priority="1" operator="containsText" text="///">
      <formula>NOT(ISERROR(SEARCH("///",N9)))</formula>
    </cfRule>
  </conditionalFormatting>
  <pageMargins left="0.7" right="0.7" top="0.75" bottom="0.75" header="0.3" footer="0.3"/>
  <pageSetup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B1:B3"/>
  <sheetViews>
    <sheetView workbookViewId="0">
      <selection activeCell="J38" sqref="J38"/>
    </sheetView>
  </sheetViews>
  <sheetFormatPr baseColWidth="10" defaultColWidth="9.42578125" defaultRowHeight="15" x14ac:dyDescent="0.25"/>
  <sheetData>
    <row r="1" spans="2:2" x14ac:dyDescent="0.25">
      <c r="B1" s="3" t="s">
        <v>334</v>
      </c>
    </row>
    <row r="2" spans="2:2" x14ac:dyDescent="0.25">
      <c r="B2">
        <v>1</v>
      </c>
    </row>
    <row r="3" spans="2:2" x14ac:dyDescent="0.25">
      <c r="B3">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A3"/>
  <sheetViews>
    <sheetView workbookViewId="0">
      <selection activeCell="F22" sqref="F22"/>
    </sheetView>
  </sheetViews>
  <sheetFormatPr baseColWidth="10" defaultColWidth="11.42578125" defaultRowHeight="15" x14ac:dyDescent="0.25"/>
  <sheetData>
    <row r="1" spans="1:1" x14ac:dyDescent="0.25">
      <c r="A1" t="s">
        <v>127</v>
      </c>
    </row>
    <row r="2" spans="1:1" x14ac:dyDescent="0.25">
      <c r="A2" t="s">
        <v>41</v>
      </c>
    </row>
    <row r="3" spans="1:1" x14ac:dyDescent="0.25">
      <c r="A3" t="s">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23A27E6B583BB4E957E4AD98476CAF5" ma:contentTypeVersion="1" ma:contentTypeDescription="Crear nuevo documento." ma:contentTypeScope="" ma:versionID="09443f45538b7e104841884c60ef640d">
  <xsd:schema xmlns:xsd="http://www.w3.org/2001/XMLSchema" xmlns:xs="http://www.w3.org/2001/XMLSchema" xmlns:p="http://schemas.microsoft.com/office/2006/metadata/properties" xmlns:ns1="http://schemas.microsoft.com/sharepoint/v3" targetNamespace="http://schemas.microsoft.com/office/2006/metadata/properties" ma:root="true" ma:fieldsID="0fa58ab6bdef439119b64b6b50b7cac5"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Fecha de inicio programada" ma:description="Fecha de inicio programada es una columna del sitio que crea la característica Publicación. Se usa para especificar la fecha y la hora a la que esta página se presentará por primera vez a los visitantes del sitio." ma:hidden="true" ma:internalName="PublishingStartDate">
      <xsd:simpleType>
        <xsd:restriction base="dms:Unknown"/>
      </xsd:simpleType>
    </xsd:element>
    <xsd:element name="PublishingExpirationDate" ma:index="9" nillable="true" ma:displayName="Fecha de finalización programada" ma:description="Fecha de finalización programada es una columna del sitio que crea la característica Publicación. Se usa para especificar la fecha y la hora a la que esta página dejará de presentarse a los visitantes del sitio."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96691D-2D4C-491D-89B3-BAD4FAC70C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643B8D-4C49-4A99-A417-EA591E5EB33D}">
  <ds:schemaRefs>
    <ds:schemaRef ds:uri="http://schemas.microsoft.com/office/2006/documentManagement/types"/>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1EE92DB-2CDF-4003-B00E-184BB06E8464}">
  <ds:schemaRefs>
    <ds:schemaRef ds:uri="http://schemas.microsoft.com/sharepoint/v3/contenttype/forms"/>
  </ds:schemaRefs>
</ds:datastoreItem>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Matriz de riesgo SD</vt:lpstr>
      <vt:lpstr>Tareas</vt:lpstr>
      <vt:lpstr>Actividades</vt:lpstr>
      <vt:lpstr>Grafico</vt:lpstr>
      <vt:lpstr>MATRIZ REPUESTOS LUBRICACION</vt:lpstr>
      <vt:lpstr>Matriz Rep. Mec.</vt:lpstr>
      <vt:lpstr>MATRIZ REPUESTOS ELEC. INSTRU.</vt:lpstr>
      <vt:lpstr>FODA</vt:lpstr>
      <vt:lpstr>STOCK CODE</vt:lpstr>
      <vt:lpstr>Data</vt:lpstr>
      <vt:lpstr>'Matriz Rep. Mec.'!Área_de_impresión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Friz</dc:creator>
  <cp:lastModifiedBy>Venta14</cp:lastModifiedBy>
  <cp:lastPrinted>2020-05-13T21:16:22Z</cp:lastPrinted>
  <dcterms:created xsi:type="dcterms:W3CDTF">2016-03-29T12:39:15Z</dcterms:created>
  <dcterms:modified xsi:type="dcterms:W3CDTF">2026-05-21T23:44:11Z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0x010100823A27E6B583BB4E957E4AD98476CAF5</vt:lpwstr>
  </property>
  <property fmtid="{D5CDD505-2E9C-101B-9397-08002B2CF9AE}" pid="3" name="MSIP_Label_9d258917-277f-42cd-a3cd-14c4e9ee58bc_Enabled">
    <vt:lpwstr>true</vt:lpwstr>
  </property>
  <property fmtid="{D5CDD505-2E9C-101B-9397-08002B2CF9AE}" pid="4" name="MSIP_Label_9d258917-277f-42cd-a3cd-14c4e9ee58bc_SetDate">
    <vt:lpwstr>2023-03-07T22:51:27Z</vt:lpwstr>
  </property>
  <property fmtid="{D5CDD505-2E9C-101B-9397-08002B2CF9AE}" pid="5" name="MSIP_Label_9d258917-277f-42cd-a3cd-14c4e9ee58bc_Method">
    <vt:lpwstr>Standard</vt:lpwstr>
  </property>
  <property fmtid="{D5CDD505-2E9C-101B-9397-08002B2CF9AE}" pid="6" name="MSIP_Label_9d258917-277f-42cd-a3cd-14c4e9ee58bc_Name">
    <vt:lpwstr>restricted</vt:lpwstr>
  </property>
  <property fmtid="{D5CDD505-2E9C-101B-9397-08002B2CF9AE}" pid="7" name="MSIP_Label_9d258917-277f-42cd-a3cd-14c4e9ee58bc_SiteId">
    <vt:lpwstr>38ae3bcd-9579-4fd4-adda-b42e1495d55a</vt:lpwstr>
  </property>
  <property fmtid="{D5CDD505-2E9C-101B-9397-08002B2CF9AE}" pid="8" name="MSIP_Label_9d258917-277f-42cd-a3cd-14c4e9ee58bc_ActionId">
    <vt:lpwstr>14050c95-f665-440f-89bd-3f9b7fc733bc</vt:lpwstr>
  </property>
  <property fmtid="{D5CDD505-2E9C-101B-9397-08002B2CF9AE}" pid="9" name="MSIP_Label_9d258917-277f-42cd-a3cd-14c4e9ee58bc_ContentBits">
    <vt:lpwstr>0</vt:lpwstr>
  </property>
</Properties>
</file>